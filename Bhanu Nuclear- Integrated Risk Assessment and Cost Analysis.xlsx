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X:\zen\Scan\Persons\dnt proofs\USA\Yeshiva University\Yeshiva University\Semester-1\3 Risk management &amp; Cybersecurity-Prof David Imre\Assignment\Group Assignment\"/>
    </mc:Choice>
  </mc:AlternateContent>
  <xr:revisionPtr revIDLastSave="0" documentId="13_ncr:1_{FA4930B1-B2B5-41C4-A4F2-B93B417236CD}" xr6:coauthVersionLast="47" xr6:coauthVersionMax="47" xr10:uidLastSave="{00000000-0000-0000-0000-000000000000}"/>
  <bookViews>
    <workbookView xWindow="-108" yWindow="-108" windowWidth="23256" windowHeight="13176" activeTab="3" xr2:uid="{12E045B2-FE1F-480E-957A-DE1A790F1818}"/>
  </bookViews>
  <sheets>
    <sheet name="1. Risk Assessment" sheetId="1" r:id="rId1"/>
    <sheet name="2. Risk Valuation" sheetId="3" r:id="rId2"/>
    <sheet name="3. Conclusion" sheetId="5" r:id="rId3"/>
    <sheet name="4. Ranking" sheetId="6" r:id="rId4"/>
    <sheet name="Revenue &amp; Data Breach Valun" sheetId="4" r:id="rId5"/>
    <sheet name="Risk Matrix" sheetId="2"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3" i="6" l="1"/>
  <c r="J6" i="6"/>
  <c r="J7" i="6"/>
  <c r="J10" i="6"/>
  <c r="J8" i="6"/>
  <c r="J12" i="6"/>
  <c r="J11" i="6"/>
  <c r="J5" i="6"/>
  <c r="J9" i="6"/>
  <c r="Q24" i="5"/>
  <c r="R24" i="5"/>
  <c r="X20" i="5"/>
  <c r="X12" i="5"/>
  <c r="X10" i="5"/>
  <c r="X8" i="5"/>
  <c r="X6" i="5"/>
  <c r="AJ22" i="3"/>
  <c r="AJ20" i="3"/>
  <c r="AJ16" i="3"/>
  <c r="AJ14" i="3"/>
  <c r="AJ12" i="3"/>
  <c r="AJ10" i="3"/>
  <c r="AJ8" i="3"/>
  <c r="AI22" i="3"/>
  <c r="AI20" i="3"/>
  <c r="AI18" i="3"/>
  <c r="AI16" i="3"/>
  <c r="AI14" i="3"/>
  <c r="AI12" i="3"/>
  <c r="AI10" i="3"/>
  <c r="AI8" i="3"/>
  <c r="AI6" i="3"/>
  <c r="V22" i="5" l="1"/>
  <c r="N22" i="5"/>
  <c r="M22" i="5"/>
  <c r="P22" i="5" s="1"/>
  <c r="S22" i="5" s="1"/>
  <c r="K22" i="5"/>
  <c r="R22" i="5" s="1"/>
  <c r="W22" i="5" s="1"/>
  <c r="J22" i="5"/>
  <c r="F22" i="5"/>
  <c r="Q22" i="5" s="1"/>
  <c r="E22" i="5"/>
  <c r="V20" i="5"/>
  <c r="N20" i="5"/>
  <c r="M20" i="5"/>
  <c r="P20" i="5" s="1"/>
  <c r="S20" i="5" s="1"/>
  <c r="K20" i="5"/>
  <c r="R20" i="5" s="1"/>
  <c r="W20" i="5" s="1"/>
  <c r="J20" i="5"/>
  <c r="F20" i="5"/>
  <c r="Q20" i="5" s="1"/>
  <c r="E20" i="5"/>
  <c r="V18" i="5"/>
  <c r="N18" i="5"/>
  <c r="M18" i="5"/>
  <c r="K18" i="5"/>
  <c r="R18" i="5" s="1"/>
  <c r="J18" i="5"/>
  <c r="F18" i="5"/>
  <c r="Q18" i="5" s="1"/>
  <c r="E18" i="5"/>
  <c r="V16" i="5"/>
  <c r="N16" i="5"/>
  <c r="M16" i="5"/>
  <c r="P16" i="5" s="1"/>
  <c r="S16" i="5" s="1"/>
  <c r="K16" i="5"/>
  <c r="R16" i="5" s="1"/>
  <c r="J16" i="5"/>
  <c r="F16" i="5"/>
  <c r="Q16" i="5" s="1"/>
  <c r="E16" i="5"/>
  <c r="V14" i="5"/>
  <c r="N14" i="5"/>
  <c r="M14" i="5"/>
  <c r="K14" i="5"/>
  <c r="R14" i="5" s="1"/>
  <c r="J14" i="5"/>
  <c r="F14" i="5"/>
  <c r="Q14" i="5" s="1"/>
  <c r="E14" i="5"/>
  <c r="V12" i="5"/>
  <c r="N12" i="5"/>
  <c r="M12" i="5"/>
  <c r="P12" i="5" s="1"/>
  <c r="S12" i="5" s="1"/>
  <c r="K12" i="5"/>
  <c r="R12" i="5" s="1"/>
  <c r="W12" i="5" s="1"/>
  <c r="J12" i="5"/>
  <c r="F12" i="5"/>
  <c r="Q12" i="5" s="1"/>
  <c r="E12" i="5"/>
  <c r="V10" i="5"/>
  <c r="N10" i="5"/>
  <c r="M10" i="5"/>
  <c r="P10" i="5" s="1"/>
  <c r="S10" i="5" s="1"/>
  <c r="K10" i="5"/>
  <c r="R10" i="5" s="1"/>
  <c r="W10" i="5" s="1"/>
  <c r="J10" i="5"/>
  <c r="F10" i="5"/>
  <c r="Q10" i="5" s="1"/>
  <c r="E10" i="5"/>
  <c r="V8" i="5"/>
  <c r="N8" i="5"/>
  <c r="M8" i="5"/>
  <c r="P8" i="5" s="1"/>
  <c r="S8" i="5" s="1"/>
  <c r="K8" i="5"/>
  <c r="R8" i="5" s="1"/>
  <c r="W8" i="5" s="1"/>
  <c r="J8" i="5"/>
  <c r="F8" i="5"/>
  <c r="Q8" i="5" s="1"/>
  <c r="E8" i="5"/>
  <c r="V6" i="5"/>
  <c r="N6" i="5"/>
  <c r="M6" i="5"/>
  <c r="K6" i="5"/>
  <c r="J6" i="5"/>
  <c r="F6" i="5"/>
  <c r="Q6" i="5" s="1"/>
  <c r="E6" i="5"/>
  <c r="AH8" i="3"/>
  <c r="AH10" i="3"/>
  <c r="AH12" i="3"/>
  <c r="AH14" i="3"/>
  <c r="AH16" i="3"/>
  <c r="AH18" i="3"/>
  <c r="AH20" i="3"/>
  <c r="AH22" i="3"/>
  <c r="AD8" i="3"/>
  <c r="AE8" i="3"/>
  <c r="AD10" i="3"/>
  <c r="AE10" i="3"/>
  <c r="AD12" i="3"/>
  <c r="AE12" i="3"/>
  <c r="AD14" i="3"/>
  <c r="AE14" i="3"/>
  <c r="AD16" i="3"/>
  <c r="AE16" i="3"/>
  <c r="AD18" i="3"/>
  <c r="AE18" i="3"/>
  <c r="AD20" i="3"/>
  <c r="AE20" i="3"/>
  <c r="AD22" i="3"/>
  <c r="AE22" i="3"/>
  <c r="AE6" i="3"/>
  <c r="AD6" i="3"/>
  <c r="AH6" i="3"/>
  <c r="Z10" i="3"/>
  <c r="X10" i="3" s="1"/>
  <c r="S8" i="3"/>
  <c r="T8" i="3"/>
  <c r="T10" i="3"/>
  <c r="S12" i="3"/>
  <c r="T12" i="3"/>
  <c r="S14" i="3"/>
  <c r="T14" i="3"/>
  <c r="S16" i="3"/>
  <c r="T16" i="3"/>
  <c r="S18" i="3"/>
  <c r="T18" i="3"/>
  <c r="S20" i="3"/>
  <c r="T20" i="3"/>
  <c r="S22" i="3"/>
  <c r="T22" i="3"/>
  <c r="T6" i="3"/>
  <c r="Y8" i="3"/>
  <c r="Z8" i="3"/>
  <c r="Y10" i="3"/>
  <c r="W10" i="3" s="1"/>
  <c r="Y12" i="3"/>
  <c r="Z12" i="3"/>
  <c r="X12" i="3" s="1"/>
  <c r="Y14" i="3"/>
  <c r="W14" i="3" s="1"/>
  <c r="Z14" i="3"/>
  <c r="X14" i="3" s="1"/>
  <c r="Y16" i="3"/>
  <c r="Z16" i="3"/>
  <c r="Y18" i="3"/>
  <c r="W18" i="3" s="1"/>
  <c r="Z18" i="3"/>
  <c r="X18" i="3" s="1"/>
  <c r="Y20" i="3"/>
  <c r="W20" i="3" s="1"/>
  <c r="Z20" i="3"/>
  <c r="Z6" i="3"/>
  <c r="X6" i="3" s="1"/>
  <c r="S6" i="3"/>
  <c r="Y22" i="3"/>
  <c r="W22" i="3" s="1"/>
  <c r="Y6" i="3"/>
  <c r="W6" i="3" s="1"/>
  <c r="L18" i="3"/>
  <c r="AC18" i="3" s="1"/>
  <c r="I7" i="4"/>
  <c r="I8" i="4"/>
  <c r="I9" i="4"/>
  <c r="I6" i="4"/>
  <c r="Z22" i="3"/>
  <c r="X22" i="3" s="1"/>
  <c r="F6" i="4"/>
  <c r="F7" i="4"/>
  <c r="F8" i="4"/>
  <c r="F9" i="4"/>
  <c r="G8" i="3"/>
  <c r="G10" i="3"/>
  <c r="G12" i="3"/>
  <c r="G14" i="3"/>
  <c r="G16" i="3"/>
  <c r="G18" i="3"/>
  <c r="G20" i="3"/>
  <c r="G22" i="3"/>
  <c r="G6" i="3"/>
  <c r="K8" i="3"/>
  <c r="H8" i="3" s="1"/>
  <c r="K10" i="3"/>
  <c r="H10" i="3" s="1"/>
  <c r="K12" i="3"/>
  <c r="H12" i="3" s="1"/>
  <c r="K14" i="3"/>
  <c r="H14" i="3" s="1"/>
  <c r="K16" i="3"/>
  <c r="H16" i="3" s="1"/>
  <c r="K18" i="3"/>
  <c r="H18" i="3" s="1"/>
  <c r="K20" i="3"/>
  <c r="H20" i="3" s="1"/>
  <c r="K22" i="3"/>
  <c r="H22" i="3" s="1"/>
  <c r="K6" i="3"/>
  <c r="H6" i="3" s="1"/>
  <c r="X22" i="5" l="1"/>
  <c r="W14" i="5"/>
  <c r="X14" i="5" s="1"/>
  <c r="W18" i="5"/>
  <c r="W16" i="5"/>
  <c r="X16" i="5" s="1"/>
  <c r="O22" i="5"/>
  <c r="P14" i="5"/>
  <c r="S14" i="5" s="1"/>
  <c r="O18" i="5"/>
  <c r="O14" i="5"/>
  <c r="O6" i="5"/>
  <c r="P6" i="5"/>
  <c r="S6" i="5" s="1"/>
  <c r="R6" i="5"/>
  <c r="W6" i="5" s="1"/>
  <c r="O10" i="5"/>
  <c r="P18" i="5"/>
  <c r="S18" i="5" s="1"/>
  <c r="O12" i="5"/>
  <c r="O20" i="5"/>
  <c r="O8" i="5"/>
  <c r="O16" i="5"/>
  <c r="AJ6" i="3"/>
  <c r="AB22" i="3"/>
  <c r="AB14" i="3"/>
  <c r="AA14" i="3"/>
  <c r="S10" i="3"/>
  <c r="AB10" i="3"/>
  <c r="AA8" i="3"/>
  <c r="T24" i="3"/>
  <c r="AB18" i="3"/>
  <c r="AB8" i="3"/>
  <c r="AA16" i="3"/>
  <c r="AB16" i="3"/>
  <c r="AA12" i="3"/>
  <c r="W16" i="3"/>
  <c r="AA10" i="3"/>
  <c r="W12" i="3"/>
  <c r="AB6" i="3"/>
  <c r="AA18" i="3"/>
  <c r="AB20" i="3"/>
  <c r="AB12" i="3"/>
  <c r="AA20" i="3"/>
  <c r="W8" i="3"/>
  <c r="X20" i="3"/>
  <c r="L16" i="3"/>
  <c r="AC16" i="3" s="1"/>
  <c r="L14" i="3"/>
  <c r="AC14" i="3" s="1"/>
  <c r="L12" i="3"/>
  <c r="AC12" i="3" s="1"/>
  <c r="L8" i="3"/>
  <c r="AC8" i="3" s="1"/>
  <c r="L22" i="3"/>
  <c r="AC22" i="3" s="1"/>
  <c r="L6" i="3"/>
  <c r="AC6" i="3" s="1"/>
  <c r="L20" i="3"/>
  <c r="AC20" i="3" s="1"/>
  <c r="L10" i="3"/>
  <c r="AC10" i="3" s="1"/>
  <c r="AA22" i="3"/>
  <c r="X8" i="3"/>
  <c r="X16" i="3"/>
  <c r="AA6" i="3"/>
  <c r="G6" i="4"/>
  <c r="H6" i="4" s="1"/>
  <c r="E7" i="4" s="1"/>
  <c r="G7" i="4" s="1"/>
  <c r="H7" i="4" s="1"/>
  <c r="E8" i="4" s="1"/>
  <c r="G8" i="4" s="1"/>
  <c r="H8" i="4" s="1"/>
  <c r="E9" i="4" s="1"/>
  <c r="G9" i="4" s="1"/>
  <c r="H9" i="4" s="1"/>
  <c r="M16" i="3"/>
  <c r="M6" i="3"/>
  <c r="M18" i="3"/>
  <c r="M14" i="3"/>
  <c r="M8" i="3"/>
  <c r="M10" i="3"/>
  <c r="M12" i="3"/>
  <c r="M22" i="3"/>
  <c r="M20" i="3"/>
</calcChain>
</file>

<file path=xl/sharedStrings.xml><?xml version="1.0" encoding="utf-8"?>
<sst xmlns="http://schemas.openxmlformats.org/spreadsheetml/2006/main" count="534" uniqueCount="257">
  <si>
    <t>Confidentiality</t>
  </si>
  <si>
    <t>Integrity</t>
  </si>
  <si>
    <t>Availability</t>
  </si>
  <si>
    <t>Inherent Risk</t>
  </si>
  <si>
    <t>Risk Value</t>
  </si>
  <si>
    <t>Rationale</t>
  </si>
  <si>
    <t>Control</t>
  </si>
  <si>
    <t>Residual Risk</t>
  </si>
  <si>
    <t>Risk Category</t>
  </si>
  <si>
    <t>Likelihood</t>
  </si>
  <si>
    <t>Likely</t>
  </si>
  <si>
    <t>Possible</t>
  </si>
  <si>
    <t>Unlikely</t>
  </si>
  <si>
    <t>High</t>
  </si>
  <si>
    <t>Medium</t>
  </si>
  <si>
    <t>Low</t>
  </si>
  <si>
    <t xml:space="preserve">Likelihood:
Impact: </t>
  </si>
  <si>
    <t>Control Type</t>
  </si>
  <si>
    <t>Manual or Auto</t>
  </si>
  <si>
    <t>Controls</t>
  </si>
  <si>
    <t>Comment (optional)</t>
  </si>
  <si>
    <t>External</t>
  </si>
  <si>
    <t>Internal</t>
  </si>
  <si>
    <t xml:space="preserve">Competitors may perform a Denial of Service attack on the gaming servers so that the gamers can't access their favorite game or they receive less latency speed over networks which motivates them to switch over to alternate games. </t>
  </si>
  <si>
    <t xml:space="preserve">The US Government bans game for spying on gamers and sending their data back to China. </t>
  </si>
  <si>
    <t>A Tornado or Hurricane disturbs and affects the gaming servers for a particular region or zone prone to tonado or hurricane.</t>
  </si>
  <si>
    <t>An Internal employee leaks the cheat codes online on dark web for money</t>
  </si>
  <si>
    <t>A disgruntled employee sells a part of the gaming code on dark web.</t>
  </si>
  <si>
    <t>Man-made</t>
  </si>
  <si>
    <t>Natural</t>
  </si>
  <si>
    <t>Intentional</t>
  </si>
  <si>
    <t>Accidental</t>
  </si>
  <si>
    <t xml:space="preserve"> or Internal</t>
  </si>
  <si>
    <t xml:space="preserve"> or Man-made</t>
  </si>
  <si>
    <t xml:space="preserve">Intentional </t>
  </si>
  <si>
    <t>or Accidental</t>
  </si>
  <si>
    <t>Legal Agreement binding employees maintaining strict confidentiality and incorporating penal clauses to get indemnified by employees if found guilty of disclosing assets of company</t>
  </si>
  <si>
    <t>Preventive</t>
  </si>
  <si>
    <t>Manual</t>
  </si>
  <si>
    <t xml:space="preserve">Risk of inadvertent or intentional disclosure made and the same going undetected. </t>
  </si>
  <si>
    <t>Likelihood: 0.05
Impact:  40%</t>
  </si>
  <si>
    <t>Automated tool to change the cheatcodes periodically</t>
  </si>
  <si>
    <t>Automated</t>
  </si>
  <si>
    <t>Risk that the cheat is used and leaked before the automated tool changes cheat codes.</t>
  </si>
  <si>
    <t>Multiple websites pirating and duplicating the game setup files with trojans, malware, or Spyware for download to users.</t>
  </si>
  <si>
    <t>Likelihood:0.10
Impact:1%</t>
  </si>
  <si>
    <t xml:space="preserve">Enforcing activation of game setup after input of strong key. Making the setup file signature available on the website or Game box and mandating its verification. </t>
  </si>
  <si>
    <t xml:space="preserve">Other websites making the game setup file available may still make the dummy setup files available to spam users with their adwares or Malwares </t>
  </si>
  <si>
    <t>There is a risk of another vulnerability or a zero day exploit being used to hack the system.</t>
  </si>
  <si>
    <t>Using automated tools to restrict scripts from running and modifying game variables.</t>
  </si>
  <si>
    <t>The gamers or scriptbuddies may try to exploit another loophole for gaining gaming advantage over peers.</t>
  </si>
  <si>
    <t>No controls as such can be placed against a government regulation. However compliance can be done with the government to show that the data of the gamers are kept on the servers in USA and no other data is being sent to any home country.</t>
  </si>
  <si>
    <t>Corrective</t>
  </si>
  <si>
    <t>However the risk on the ban remains if the government places further stringent restrictions which are not viable</t>
  </si>
  <si>
    <t>For a location prone to tornados and Hurricanes residual risk remains the same.</t>
  </si>
  <si>
    <t>Likelihood: 0.40
Impact: 45%</t>
  </si>
  <si>
    <t>Likelihood: 0.15
Impact: 10%</t>
  </si>
  <si>
    <t>Likelihood: 0.05
Impact: 3%</t>
  </si>
  <si>
    <t>Likelihood: 0.2
Impact: 60%</t>
  </si>
  <si>
    <t>Likelihood: 85%
Impact: 60%</t>
  </si>
  <si>
    <t>INHERENT RISK FOR MULTI-PLAYER GAMING PROJECT</t>
  </si>
  <si>
    <t xml:space="preserve">Using automated tools and patch management of servers and systems regularly. Also by providing regular updates and bug fixes. </t>
  </si>
  <si>
    <t>PII(Personally Identifiable Information) of gamers leaked by Hackers over dark web for money.</t>
  </si>
  <si>
    <t xml:space="preserve">Ensuring servers, databases and other systems are secure and performing automated and manual penetration tests regularly. Hiring a strong testing team. </t>
  </si>
  <si>
    <t xml:space="preserve">Even after the control implemented there is a high amount of residual risks which is involved as no system is fool proof. </t>
  </si>
  <si>
    <t>Likelihood:0.30
Impact: 35%</t>
  </si>
  <si>
    <t xml:space="preserve">Hackers may exploit vulnerabilities In gaming servers and change values to get gaming resources for free, thus having an undue advantage over regular gamers. They may also sell those resources to them. This may alter the integrity of the current gaming project of the company and may incur a loss to the gaming company. </t>
  </si>
  <si>
    <t>It would also be advisable to keep a real-time hot site server as a secondary site where gaming data is replicated in real time. Also for any Tornado or hurricane prone regions auto input feeds from the weather departments and monitoring on daily basis would give sufficient time to switch to the alternate hot server.</t>
  </si>
  <si>
    <t>Hiring of reputed Third party vendors for monitoring and preventing DDOS attacks may be considered for controlling this risk. Reputed vendors like CISCO, Verizon etc provide such services. Other alternative is maintaining an information security team and providing them with applications platforms for implementing and monitoring (WAF)Web-Application firewalls or Access Control Lists (ACLs) can be put as a control. A SOC (Securities Operation Center) or a TOC (Technology operations center) for monitoring such attack should be put in place as a control to minimize such risks.</t>
  </si>
  <si>
    <t xml:space="preserve">Reputed Third-party firms may monitor for such attacks or the internal information security team may help prevent such attacks as both of them are strong controls against DDOS. However this does not make DDOS attacks totally prone-free. </t>
  </si>
  <si>
    <t>Probability: 0.10
Impact:  40%</t>
  </si>
  <si>
    <t>Probability: 0.40
Impact: 85%</t>
  </si>
  <si>
    <t>Probability: 0.60
Impact: 75 %</t>
  </si>
  <si>
    <t>Probability: 0.30
Impact: 18%</t>
  </si>
  <si>
    <t>Probability: 0.3
Impact: 20%</t>
  </si>
  <si>
    <t>Probability: 0.5
Impact: 10%</t>
  </si>
  <si>
    <t>z</t>
  </si>
  <si>
    <t>Probability(%)</t>
  </si>
  <si>
    <t>Impact</t>
  </si>
  <si>
    <t>Manual/Automated</t>
  </si>
  <si>
    <t>External/Internal</t>
  </si>
  <si>
    <t>Natural/Manmade</t>
  </si>
  <si>
    <t>Risk Level (0 to 100)</t>
  </si>
  <si>
    <t>Probability</t>
  </si>
  <si>
    <t>Rationale (Qualitative Assessments)</t>
  </si>
  <si>
    <t>Impact Scale</t>
  </si>
  <si>
    <t>&gt;90</t>
  </si>
  <si>
    <t>Extreme</t>
  </si>
  <si>
    <t>1-5</t>
  </si>
  <si>
    <t>Incidental</t>
  </si>
  <si>
    <t>Minor</t>
  </si>
  <si>
    <t>5.01-10</t>
  </si>
  <si>
    <t>10.01-50</t>
  </si>
  <si>
    <t>Moderate</t>
  </si>
  <si>
    <t>50.01-90</t>
  </si>
  <si>
    <t>Major</t>
  </si>
  <si>
    <t>Impact Scale as per Risk Level</t>
  </si>
  <si>
    <t xml:space="preserve">Impact (Value/Range) </t>
  </si>
  <si>
    <t>Risk Value(Qualitative)</t>
  </si>
  <si>
    <t>Year</t>
  </si>
  <si>
    <t>Total Valuation</t>
  </si>
  <si>
    <t>CAGR Value</t>
  </si>
  <si>
    <r>
      <t xml:space="preserve">Amount in </t>
    </r>
    <r>
      <rPr>
        <b/>
        <sz val="11"/>
        <color theme="1"/>
        <rFont val="Calibri"/>
        <family val="2"/>
        <scheme val="minor"/>
      </rPr>
      <t>(US$ Billion)</t>
    </r>
  </si>
  <si>
    <r>
      <t xml:space="preserve">CAGR </t>
    </r>
    <r>
      <rPr>
        <b/>
        <sz val="11"/>
        <color theme="1"/>
        <rFont val="Calibri"/>
        <family val="2"/>
        <scheme val="minor"/>
      </rPr>
      <t>(Compounded Annual Growth Rate)</t>
    </r>
  </si>
  <si>
    <t>Web Application Attacks (including LFI, SQLi, XSS, PHPi, OGNLi, Other)</t>
  </si>
  <si>
    <t>Implementation of Web Application Firewall and enabling sandboxing environment for protection.</t>
  </si>
  <si>
    <t>Column1</t>
  </si>
  <si>
    <t>Column2</t>
  </si>
  <si>
    <t>Column3</t>
  </si>
  <si>
    <t>Column4</t>
  </si>
  <si>
    <t>Column5</t>
  </si>
  <si>
    <t>Column6</t>
  </si>
  <si>
    <t>Total</t>
  </si>
  <si>
    <t>In General, the probability in the I coulmn has been determined based on the risk assumption based on previous data of gaming industry. The Impact value has been determined looking to the impact of each probability of the inherent risk occuring in the Multi-Player gaming project. In this case we envisage only a 2% chance that a disgruntled employee may sell a part of gaming code he/she knows on the dark web. However if this event occurs it would case an impact of 40 in range terms.</t>
  </si>
  <si>
    <t>Residual Risk// Rationale Justification for the values of Probability and impact</t>
  </si>
  <si>
    <t>In this case, we have determined the probability of an employee leaking cheat codes, which is a normal risk for the gaming industry. The probability of the same has been determined as 3%, whereas the impact of the same is quite nominal, determined as 5 in range.</t>
  </si>
  <si>
    <t>In this case, we have determined the probability of a database hack, which is also a High risk for the gaming industry. The probability of the same has been determined as 5%, whereas the impact of the same is quite nominal, determined as 85 in range as it would tantamount to fines and violation of Laws if occurred.</t>
  </si>
  <si>
    <r>
      <t xml:space="preserve">Data Breach Vaulation </t>
    </r>
    <r>
      <rPr>
        <b/>
        <sz val="11"/>
        <color rgb="FF002060"/>
        <rFont val="Calibri"/>
        <family val="2"/>
        <scheme val="minor"/>
      </rPr>
      <t>Assumption</t>
    </r>
    <r>
      <rPr>
        <sz val="11"/>
        <color theme="1"/>
        <rFont val="Calibri"/>
        <family val="2"/>
        <scheme val="minor"/>
      </rPr>
      <t xml:space="preserve"> @20%</t>
    </r>
    <r>
      <rPr>
        <b/>
        <sz val="11"/>
        <color theme="1"/>
        <rFont val="Calibri"/>
        <family val="2"/>
        <scheme val="minor"/>
      </rPr>
      <t>(Amt in USD$ Billion)</t>
    </r>
    <r>
      <rPr>
        <sz val="11"/>
        <color theme="1"/>
        <rFont val="Calibri"/>
        <family val="2"/>
        <scheme val="minor"/>
      </rPr>
      <t>of Revenue</t>
    </r>
  </si>
  <si>
    <t>Justification ----&gt;</t>
  </si>
  <si>
    <t xml:space="preserve">As per PWC Report Revenue Growth Rate of Gaming Industry and Breach Assumed </t>
  </si>
  <si>
    <t>occurring in Gaming Industry</t>
  </si>
  <si>
    <t>Piracy and Duplicating gaming resources is a common practice done by other websites and malware distributing URL's where they claim to be distributing the claim setup, however are only infective the users system with malwares or spywares. We have fixed its probability at 6 with its impact at 30% on our firm</t>
  </si>
  <si>
    <t>Impact (Value/Range) To Firm (In Revenue)</t>
  </si>
  <si>
    <t>Exploiting vulnerabilities have comparitively moderate probability of occurring and hence we have determined it at 6% and its impact at 18</t>
  </si>
  <si>
    <t>Web Application attacks have a high probability in all sectors including the gaming industry. Hence we have determined the probability as 12% with a high Impact at 40 if the event occurs.</t>
  </si>
  <si>
    <t xml:space="preserve">The probability of US Government banning the game is unlikely as PII data is not being sent back to the home country as have been found in some other games. Hence the probability of it occuring is low, however if it does occur then it would have a huge impact on our gaming firm. </t>
  </si>
  <si>
    <t>The Probability of Tornado or hurricane disturbing the server is low. However we have taken full precautions by maintaining a hot site which can be easily switched to.</t>
  </si>
  <si>
    <t>The Probability of a DDOS attack is very Likely and can make a huge impact in eating out our firms gaming resources thereby denying access to the users.</t>
  </si>
  <si>
    <t>Probability: 0.05
Impact:  5%</t>
  </si>
  <si>
    <t>Probability: 0.70
Impact: 7%</t>
  </si>
  <si>
    <t>Probability: 0.05
Impact: 75%</t>
  </si>
  <si>
    <t>Reduction in Risk impact due to control</t>
  </si>
  <si>
    <t>Reduction in Risk Probability due to control</t>
  </si>
  <si>
    <t>Reduction in Risk level</t>
  </si>
  <si>
    <t>RISK ASSESSMENT FOR MULTIPLAYER GAMING PROJECT</t>
  </si>
  <si>
    <t>Residual Risk Level (0 to 100)</t>
  </si>
  <si>
    <t>Cost Benefit Analysis</t>
  </si>
  <si>
    <t>One Time</t>
  </si>
  <si>
    <t>Annual</t>
  </si>
  <si>
    <t>Total Cost of Implementation</t>
  </si>
  <si>
    <t>A</t>
  </si>
  <si>
    <t>B</t>
  </si>
  <si>
    <t>C</t>
  </si>
  <si>
    <t>D</t>
  </si>
  <si>
    <t>F</t>
  </si>
  <si>
    <t>G</t>
  </si>
  <si>
    <t>Control Description</t>
  </si>
  <si>
    <t>H</t>
  </si>
  <si>
    <t>I</t>
  </si>
  <si>
    <t>L</t>
  </si>
  <si>
    <t>M</t>
  </si>
  <si>
    <t>O</t>
  </si>
  <si>
    <t>P</t>
  </si>
  <si>
    <t>Q</t>
  </si>
  <si>
    <t>S</t>
  </si>
  <si>
    <t>T</t>
  </si>
  <si>
    <t>U</t>
  </si>
  <si>
    <t>V</t>
  </si>
  <si>
    <t>W</t>
  </si>
  <si>
    <t>X</t>
  </si>
  <si>
    <t>Estimated impact before Control</t>
  </si>
  <si>
    <t>Benefit from implementation of control</t>
  </si>
  <si>
    <t>Estimated Impact after Control</t>
  </si>
  <si>
    <t>Impact of Controls</t>
  </si>
  <si>
    <t>Y</t>
  </si>
  <si>
    <t>Residual Risk value due to controls(Amt in US$ Million)</t>
  </si>
  <si>
    <t>Reduction in Risk Value Quantitative (Amt in US$ Millions)</t>
  </si>
  <si>
    <t>Risk Value Quantitative (Amt in US$ Millions)</t>
  </si>
  <si>
    <t>Using automated tools to restrict scripts from running and modifying game variables. Using Firewalls and sandboxing mechanisms to prevent OWASP and other Web application attacks. Following ISO27001 &amp; NIST framework</t>
  </si>
  <si>
    <t>It would also be advisable to keep a real-time hot site server as a secondary site where gaming data is replicated in real time. Also for any Tornado or hurricane prone regions auto input feeds from the weather departments and monitoring on daily basis would give sufficient time to switch to the alternate hot server. Subsciption to premium weather reports and Alert services</t>
  </si>
  <si>
    <t>No Of Years for Breakeven</t>
  </si>
  <si>
    <t>Estimated one Time Cost of Implementation. (Used if only one-time cost or annual cost, but not both)</t>
  </si>
  <si>
    <t>However the risk on the ban remains if the government places further stringent restrictions which are not viable. Improve data policy of the company as and when a new law is passed withing the time frame granted for implementation.</t>
  </si>
  <si>
    <t>N/A</t>
  </si>
  <si>
    <t>E</t>
  </si>
  <si>
    <t>J (H*I)</t>
  </si>
  <si>
    <t>K</t>
  </si>
  <si>
    <t>N</t>
  </si>
  <si>
    <t>P (N*O)</t>
  </si>
  <si>
    <t>AA</t>
  </si>
  <si>
    <t>AB</t>
  </si>
  <si>
    <t>AC</t>
  </si>
  <si>
    <t>AD</t>
  </si>
  <si>
    <t>AE</t>
  </si>
  <si>
    <t>AF</t>
  </si>
  <si>
    <t>AG (AF+AE)</t>
  </si>
  <si>
    <t>AI</t>
  </si>
  <si>
    <t>Z (X*Y)</t>
  </si>
  <si>
    <t>AJ</t>
  </si>
  <si>
    <t xml:space="preserve">Measures like Non Disclosure Agreements, Contracts, Policies, Procedures and Standards etc. in a company as well as implementing strong penalties and action for any intentional sharing of data outside the Organization is implemented against the Risk. Legal Contracts and agreements can be a strong deterrent for employees to prevent sharing any organization's information on dark web. </t>
  </si>
  <si>
    <t>Ensure servers, databases, and other systems are secure and regularly perform automated and manual penetration tests. Hiring a solid testing team. Back up data regularly on the AWS S3 bucket and implement encryption from the introduction of data.</t>
  </si>
  <si>
    <t xml:space="preserve">Data Leakage is one of the important aspects of concern for any organization, and the gaming industry is no exception. Due to the implementation of Strict privacy regulations in recent years like GDPR(EU), DPA 2018(UK), USA Privacy Act 2023, DPDP Act, etc, preventing data leakage is a serious task. It needs to be contained, failure of which can result in hefty fines and penalties for an organization. Hence, all the measures to protect data, such as data segmentation, data encryption at rest and in transit, Defence in Depth, cloud backup security, etc, need to be implemented. Penetration tests, hiring consultants and Third-party vendors for SQL injection and other data breach tests should regularly be monitored and conducted. Website getting hacked and data getting leaked is the last thing any organization wants as it creates a huge impact in brand reputation and goodwill of the gaming company and creates huge trust defecit between gamers about if the data is safe.  </t>
  </si>
  <si>
    <t>The risk over here relates to the game setup files being distributed by other websites in the form of a demo or complete game setup. However, the setup files are pirated copies of either the demo or the complete game bundled with PUP, spyware, trojans, malware, etc. Continuous monitoring of versions and the Key series appearing on multiple malice websites with similar file signatures etc need to be scanned and continuously monitored for any unauthorized game setup appearing on internet and take actions against those websites. Either way the setup should not run without the verification of key on gaming website.</t>
  </si>
  <si>
    <t>In the gaming industry, the gaming resources provided to a user/gamer is one of the important sources of Revenue for the gaming company. Leaking Cheat codes online which provide resources or enable the user to have an edge over other players may hamper the spirits of other gamers and revenue genration of the company. Cheats if any should be regularly changed and rotated.  Even though an employee leaks cheats on dark web changing cheats daily or regularly ensures non exploitation of gaming resources.</t>
  </si>
  <si>
    <t>Network firewall, IDS, IPS are some of the Mechanisms to prevent hackers from accessing internal network resources and servers. Purchase of resources should be made in a manner, such that no undue advantage is given to a user in the game.</t>
  </si>
  <si>
    <t xml:space="preserve">Web Application Firewall and Pen Testing for Web Application vulnerabilities need to be kept in place to contain this risk. Thorough testing as well as conducting Blue team, Purple Team or red Team exercises can prove quite beneficial to maintain a proper security posture for online gaming portal and APIs. </t>
  </si>
  <si>
    <t>Data storage should be maintained as required under the local law of the country or state. If the data laws are not complied in a manner enforced by the country's law then there may be a possibility of the license getting revoked. But how do you account data for international gamers ? Hence servers need to be kept at different co-located facilities in order to comply with the local law where compliance is required. Revocation of License can hamper a huge revenue base for the company for a particular location. So it is better to contain the risks and comply as per the Act or the regulations prevailent.</t>
  </si>
  <si>
    <t>Natural Calamities are less probable but important risks as any unforeseen Natural calamity can occur. A Tornado or Hurricane disrupting business in a region or zone prone to it should be planned for Business Continuity and Disaster Recovery so that recovery can occur at the earliest in any such event. The risks should be mitigating using techniques like studying monitoring reports from agencies, Weather forecast for areas prone to it and by maintaining alternate servers in a different region from where availability can be assured.</t>
  </si>
  <si>
    <t>This is one of the greatest risks that our gaming company faces. DOS attacks attributed to the largest components of the breaches that happen in the gaming industry. The attacks may be motivated by various factors such as hackers, competitiors, scriptbuddies etc. Using Web Application firewalls, IDS and IPS are some tools that help in detecting and preventing DOS attacks.</t>
  </si>
  <si>
    <t>Breakeven Analysis</t>
  </si>
  <si>
    <t>Assumed  Revenue in Million $ --&gt;</t>
  </si>
  <si>
    <t>Comments</t>
  </si>
  <si>
    <t>Conclusion</t>
  </si>
  <si>
    <r>
      <rPr>
        <b/>
        <sz val="11"/>
        <color theme="1"/>
        <rFont val="Calibri"/>
        <family val="2"/>
      </rPr>
      <t>Exploitation of Vulnerabilities:</t>
    </r>
    <r>
      <rPr>
        <sz val="11"/>
        <color theme="1"/>
        <rFont val="Calibri"/>
        <family val="2"/>
      </rPr>
      <t xml:space="preserve"> Hackers may exploit vulnerabilities In gaming servers and change values to get gaming resources for free, thus having an undue advantage over regular gamers. They may also sell those resources to them. This may alter the integrity of the current gaming project of the company and may incur a loss to the gaming company. </t>
    </r>
  </si>
  <si>
    <r>
      <rPr>
        <b/>
        <sz val="11"/>
        <color theme="1"/>
        <rFont val="Calibri"/>
        <family val="2"/>
      </rPr>
      <t xml:space="preserve">Malicious Payload: </t>
    </r>
    <r>
      <rPr>
        <sz val="11"/>
        <color theme="1"/>
        <rFont val="Calibri"/>
        <family val="2"/>
      </rPr>
      <t>Multiple websites pirating and duplicating the game setup files with trojans, malware, or Spyware for download to users.</t>
    </r>
  </si>
  <si>
    <r>
      <rPr>
        <b/>
        <sz val="11"/>
        <color theme="1"/>
        <rFont val="Calibri"/>
        <family val="2"/>
      </rPr>
      <t>Web Application Attacks:</t>
    </r>
    <r>
      <rPr>
        <sz val="11"/>
        <color theme="1"/>
        <rFont val="Calibri"/>
        <family val="2"/>
      </rPr>
      <t xml:space="preserve"> Web Application Attacks (including LFI, SQLi, XSS, PHPi, OGNLi, Other)</t>
    </r>
  </si>
  <si>
    <r>
      <rPr>
        <b/>
        <sz val="11"/>
        <color theme="1"/>
        <rFont val="Calibri"/>
        <family val="2"/>
      </rPr>
      <t>Change in Government Policies:</t>
    </r>
    <r>
      <rPr>
        <sz val="11"/>
        <color theme="1"/>
        <rFont val="Calibri"/>
        <family val="2"/>
      </rPr>
      <t xml:space="preserve"> The Government bans game for sharing data on gamers and sending their data back to other/Home Country. </t>
    </r>
  </si>
  <si>
    <r>
      <rPr>
        <b/>
        <sz val="11"/>
        <color theme="1"/>
        <rFont val="Calibri"/>
        <family val="2"/>
      </rPr>
      <t>Natural Calamities:</t>
    </r>
    <r>
      <rPr>
        <sz val="11"/>
        <color theme="1"/>
        <rFont val="Calibri"/>
        <family val="2"/>
      </rPr>
      <t xml:space="preserve"> A Tornado or Hurricane disturbs and affects the gaming servers for a particular region or zone prone to tonado or hurricane.</t>
    </r>
  </si>
  <si>
    <r>
      <rPr>
        <b/>
        <sz val="11"/>
        <color theme="1"/>
        <rFont val="Calibri"/>
        <family val="2"/>
      </rPr>
      <t>Denial of Service:</t>
    </r>
    <r>
      <rPr>
        <sz val="11"/>
        <color theme="1"/>
        <rFont val="Calibri"/>
        <family val="2"/>
      </rPr>
      <t xml:space="preserve"> Competitors may perform a Denial of Service attack on the gaming servers so that the gamers can't access their favorite game or they receive less latency speed over networks which motivates them to switch over to alternate games. </t>
    </r>
  </si>
  <si>
    <r>
      <rPr>
        <b/>
        <sz val="11"/>
        <color theme="1"/>
        <rFont val="Calibri"/>
        <family val="2"/>
      </rPr>
      <t>Insider Threat:</t>
    </r>
    <r>
      <rPr>
        <sz val="11"/>
        <color theme="1"/>
        <rFont val="Calibri"/>
        <family val="2"/>
      </rPr>
      <t xml:space="preserve"> A disgruntled employee sells a part of the gaming code on dark web.</t>
    </r>
  </si>
  <si>
    <t>AH (AC-AG)</t>
  </si>
  <si>
    <t>After introducing the above control, we can see that the probability of the event occurring is lowered to 8% from 15%, which shows a 7% reduction in risk due to the implementation of the above control. However, the impact of insider threat remains the same if it were to occur.</t>
  </si>
  <si>
    <r>
      <rPr>
        <b/>
        <sz val="11"/>
        <color theme="1"/>
        <rFont val="Calibri"/>
        <family val="2"/>
      </rPr>
      <t>Data Privacy:</t>
    </r>
    <r>
      <rPr>
        <sz val="11"/>
        <color theme="1"/>
        <rFont val="Calibri"/>
        <family val="2"/>
      </rPr>
      <t xml:space="preserve"> PII(Personally Identifiable Information) of gamers leaked by Hackers over dark web for money.</t>
    </r>
  </si>
  <si>
    <t>Breakeven</t>
  </si>
  <si>
    <t>After implementing the control by arriving at a mechanism to change the cheats through an in-house script/tool or buying software from a vendor, the probability of the event occurring is lowered from 7% to 2%. However, the changes in impact would be minor if the same were to occur.</t>
  </si>
  <si>
    <t>After introducing the controls by implementing stringent data encryption policies and implementing IPSEC encryption on the network layer and TLS encryption on the Transport layer, the probability of the event occurring is lowered to 17% from the initial 40%. However, any breach of data would still have a serious impact if it were to occur.</t>
  </si>
  <si>
    <t>After introducing the controls, the probability of the event occurring is lowered to 18% from the likely high level of 60%. Implementing this control would lower the impact by half.</t>
  </si>
  <si>
    <t>After introducing the controls in the previous columns, the probability of the event occurring is lowered to 8% from its original 30% and with a residual impact of 12, which shows that the control brings the impact level to a reasonable level.</t>
  </si>
  <si>
    <t>After introducing the controls in the previous columns, the probability of the event occurring is lowered to 13% from an initial 70% and a residual impact level of 25. However, the impact considerably reduces due to the implementation of this control.</t>
  </si>
  <si>
    <t xml:space="preserve">After introducing the controls by hiring a team of Governance, Risk, and compliance experts, the probability of the event occurring is lowered to 1.2%. Due to compliance with the laws and legislature, the impact could be controlled, reducing the impact to 47 from level 75. </t>
  </si>
  <si>
    <t>After introducing the controls in the previous columns, the probability of the event occurring is lowered to 10% from the original 30%. The impact can be reduced if preventive measures are taken after considering the reports, alerts, and caution from the meteorological department or the whether department if the same occurs.</t>
  </si>
  <si>
    <r>
      <t>After introducing the controls in the previous columns, the probability of the event occurring is lowered to 31%</t>
    </r>
    <r>
      <rPr>
        <sz val="12"/>
        <color theme="1"/>
        <rFont val="Calibri"/>
        <family val="2"/>
        <scheme val="minor"/>
      </rPr>
      <t xml:space="preserve"> from the original 75%, with a residual impact of 70</t>
    </r>
    <r>
      <rPr>
        <sz val="12"/>
        <color rgb="FF000000"/>
        <rFont val="Calibri"/>
        <family val="2"/>
        <scheme val="minor"/>
      </rPr>
      <t>. However, the impact still remains the same if it occurs.</t>
    </r>
  </si>
  <si>
    <r>
      <t>Due to the annual savings of US $ 2 Million after implementing the control and after considering the cost of implementation of control and break-even within 2.5 years, the control should be implemented</t>
    </r>
    <r>
      <rPr>
        <b/>
        <i/>
        <sz val="12"/>
        <color rgb="FF002060"/>
        <rFont val="Calibri"/>
        <family val="2"/>
        <scheme val="minor"/>
      </rPr>
      <t>.</t>
    </r>
  </si>
  <si>
    <r>
      <t>Due to the annual savings of US $ 3 Million after implementing the control and after considering the cost of implementation of control and break-even within 0.67 years, the control should be implemented</t>
    </r>
    <r>
      <rPr>
        <b/>
        <sz val="12"/>
        <color theme="1"/>
        <rFont val="Calibri"/>
        <family val="2"/>
        <scheme val="minor"/>
      </rPr>
      <t>.</t>
    </r>
  </si>
  <si>
    <t xml:space="preserve">Looking at the significant decrease in risk due to the lowering of probability and impact being implemented by this control, the benefit the company would get over the life of the control in future years, and the fact that the investment will recoup within the first year itself concludes that the project should be implemented. </t>
  </si>
  <si>
    <t xml:space="preserve">Looking at the significant decrease in risk due to the lowering of probability and impact being implemented by this control, the benefit of US $ 13 million that the company would get during the life of the control, and the fact that the investment will recoup within the first year itself, concludes that the project should be implemented. </t>
  </si>
  <si>
    <t>Web application attacks pose significant risks in any industry, and implementing the controls would help contain risk with a benefit of US $ 39 million. It would recoup the cost of implementing the control within 0.46 years.</t>
  </si>
  <si>
    <t>Implementation of this control is required for the company to remain going-concern even though the control would result in losses. To maintain gaming operations in the desired region, data, and other laws and regulations must be complied as per the directions of the local government.</t>
  </si>
  <si>
    <t>It can be concluded that implementation of the above control is required to keep the organization a going concern. Although US $ 2.2 Million Loss is suffered each year for implementing this control it is required and needs to be implemented.</t>
  </si>
  <si>
    <t xml:space="preserve">As the implementation of control provides future benefits of around US $ 21 Million during the useful life of the control, and the investment in the implementation of control can be recouped within 2 years, it is recommended to implement this control. </t>
  </si>
  <si>
    <t>Estimated Impact after Control (Residual Risk)</t>
  </si>
  <si>
    <r>
      <rPr>
        <b/>
        <sz val="11"/>
        <color theme="1"/>
        <rFont val="Calibri"/>
        <family val="2"/>
      </rPr>
      <t xml:space="preserve">Information Leakage: </t>
    </r>
    <r>
      <rPr>
        <sz val="11"/>
        <color theme="1"/>
        <rFont val="Calibri"/>
        <family val="2"/>
      </rPr>
      <t>An Internal employee leaks the cheat codes online on dark web for money</t>
    </r>
  </si>
  <si>
    <r>
      <rPr>
        <b/>
        <sz val="11"/>
        <color theme="1"/>
        <rFont val="Calibri"/>
        <family val="2"/>
      </rPr>
      <t xml:space="preserve">Insider Leakage: </t>
    </r>
    <r>
      <rPr>
        <sz val="11"/>
        <color theme="1"/>
        <rFont val="Calibri"/>
        <family val="2"/>
      </rPr>
      <t>An Internal employee leaks the cheat codes online on dark web for money</t>
    </r>
  </si>
  <si>
    <t>Residual</t>
  </si>
  <si>
    <t>Insider Threat</t>
  </si>
  <si>
    <t>Information Leakage</t>
  </si>
  <si>
    <t>DDOS Attack</t>
  </si>
  <si>
    <t>Natural Calamity</t>
  </si>
  <si>
    <t>Change in Govt Policies</t>
  </si>
  <si>
    <t>Malicious Payload</t>
  </si>
  <si>
    <t>Vulnerability Threat</t>
  </si>
  <si>
    <t>Data privacy</t>
  </si>
  <si>
    <t>Web Application Attacks</t>
  </si>
  <si>
    <t>Rank</t>
  </si>
  <si>
    <t>Risk Mitigation</t>
  </si>
  <si>
    <t xml:space="preserve"> Order</t>
  </si>
  <si>
    <t xml:space="preserve">Inherent Risk </t>
  </si>
  <si>
    <t>Amount</t>
  </si>
  <si>
    <t xml:space="preserve">Control </t>
  </si>
  <si>
    <t>Value</t>
  </si>
  <si>
    <t>% of risk that</t>
  </si>
  <si>
    <t xml:space="preserve"> Controls Mitigate</t>
  </si>
  <si>
    <t>Column7</t>
  </si>
  <si>
    <t>Column8</t>
  </si>
  <si>
    <t>Risk</t>
  </si>
  <si>
    <t xml:space="preserve"> Level</t>
  </si>
  <si>
    <t>Ranking of Risks Controls to be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</si>
</sst>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theme="1"/>
      <name val="Calibri"/>
      <family val="2"/>
      <scheme val="minor"/>
    </font>
    <font>
      <b/>
      <sz val="14"/>
      <color rgb="FF002060"/>
      <name val="Calibri"/>
      <family val="2"/>
      <scheme val="minor"/>
    </font>
    <font>
      <b/>
      <sz val="11"/>
      <color rgb="FF002060"/>
      <name val="Calibri"/>
      <family val="2"/>
      <scheme val="minor"/>
    </font>
    <font>
      <sz val="8"/>
      <name val="Calibri"/>
      <family val="2"/>
      <scheme val="minor"/>
    </font>
    <font>
      <sz val="11"/>
      <color theme="1"/>
      <name val="Cambria"/>
      <family val="1"/>
    </font>
    <font>
      <sz val="11"/>
      <color theme="1"/>
      <name val="Calibri"/>
      <family val="2"/>
    </font>
    <font>
      <b/>
      <sz val="18"/>
      <color rgb="FF002060"/>
      <name val="Calibri"/>
      <family val="2"/>
    </font>
    <font>
      <b/>
      <sz val="11"/>
      <color rgb="FF002060"/>
      <name val="Calibri"/>
      <family val="2"/>
    </font>
    <font>
      <b/>
      <sz val="14"/>
      <color rgb="FF002060"/>
      <name val="Calibri"/>
      <family val="2"/>
    </font>
    <font>
      <b/>
      <sz val="20"/>
      <color rgb="FF002060"/>
      <name val="Calibri"/>
      <family val="2"/>
    </font>
    <font>
      <b/>
      <sz val="11"/>
      <color theme="1"/>
      <name val="Calibri"/>
      <family val="2"/>
    </font>
    <font>
      <sz val="11"/>
      <color rgb="FF002060"/>
      <name val="Calibri"/>
      <family val="2"/>
    </font>
    <font>
      <b/>
      <sz val="24"/>
      <color theme="7"/>
      <name val="Cambria"/>
      <family val="1"/>
    </font>
    <font>
      <sz val="12"/>
      <color theme="1"/>
      <name val="Calibri"/>
      <family val="2"/>
      <scheme val="minor"/>
    </font>
    <font>
      <sz val="12"/>
      <color rgb="FF000000"/>
      <name val="Calibri"/>
      <family val="2"/>
      <scheme val="minor"/>
    </font>
    <font>
      <b/>
      <sz val="12"/>
      <color theme="1"/>
      <name val="Calibri"/>
      <family val="2"/>
      <scheme val="minor"/>
    </font>
    <font>
      <i/>
      <sz val="11"/>
      <color rgb="FF002060"/>
      <name val="Calibri"/>
      <family val="2"/>
    </font>
    <font>
      <b/>
      <i/>
      <sz val="12"/>
      <color rgb="FF002060"/>
      <name val="Calibri"/>
      <family val="2"/>
      <scheme val="minor"/>
    </font>
    <font>
      <b/>
      <i/>
      <sz val="18"/>
      <color rgb="FF002060"/>
      <name val="Calibri"/>
      <family val="2"/>
      <scheme val="minor"/>
    </font>
  </fonts>
  <fills count="9">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002060"/>
        <bgColor indexed="64"/>
      </patternFill>
    </fill>
    <fill>
      <patternFill patternType="solid">
        <fgColor theme="4" tint="0.79998168889431442"/>
        <bgColor indexed="64"/>
      </patternFill>
    </fill>
    <fill>
      <patternFill patternType="solid">
        <fgColor theme="0" tint="-0.24997711111789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145">
    <xf numFmtId="0" fontId="0" fillId="0" borderId="0" xfId="0"/>
    <xf numFmtId="0" fontId="0" fillId="0" borderId="1" xfId="0" applyBorder="1"/>
    <xf numFmtId="0" fontId="0" fillId="2" borderId="1" xfId="0" applyFill="1" applyBorder="1"/>
    <xf numFmtId="0" fontId="0" fillId="3" borderId="1" xfId="0" applyFill="1" applyBorder="1"/>
    <xf numFmtId="0" fontId="0" fillId="4" borderId="1" xfId="0" applyFill="1" applyBorder="1"/>
    <xf numFmtId="0" fontId="0" fillId="0" borderId="2" xfId="0" applyBorder="1"/>
    <xf numFmtId="0" fontId="0" fillId="5" borderId="1" xfId="0" applyFill="1" applyBorder="1"/>
    <xf numFmtId="0" fontId="0" fillId="0" borderId="3" xfId="0" applyBorder="1"/>
    <xf numFmtId="0" fontId="0" fillId="5" borderId="3" xfId="0" applyFill="1" applyBorder="1"/>
    <xf numFmtId="0" fontId="0" fillId="5" borderId="7" xfId="0" applyFill="1" applyBorder="1"/>
    <xf numFmtId="0" fontId="0" fillId="5" borderId="8" xfId="0" applyFill="1" applyBorder="1"/>
    <xf numFmtId="0" fontId="0" fillId="0" borderId="7" xfId="0" applyBorder="1" applyAlignment="1">
      <alignment horizontal="center" vertical="center" wrapText="1"/>
    </xf>
    <xf numFmtId="0" fontId="0" fillId="0" borderId="1" xfId="0" applyBorder="1" applyAlignment="1">
      <alignment horizontal="center" vertical="center" wrapText="1"/>
    </xf>
    <xf numFmtId="0" fontId="0" fillId="0" borderId="8" xfId="0" applyBorder="1" applyAlignment="1">
      <alignment horizontal="center" vertical="center" wrapText="1"/>
    </xf>
    <xf numFmtId="0" fontId="0" fillId="5" borderId="7" xfId="0" applyFill="1" applyBorder="1" applyAlignment="1">
      <alignment horizontal="center"/>
    </xf>
    <xf numFmtId="0" fontId="0" fillId="0" borderId="7" xfId="0" applyBorder="1" applyAlignment="1">
      <alignment horizontal="left" vertical="center" wrapText="1"/>
    </xf>
    <xf numFmtId="0" fontId="0" fillId="0" borderId="1" xfId="0" applyBorder="1" applyAlignment="1">
      <alignment horizontal="left" vertical="center" wrapText="1"/>
    </xf>
    <xf numFmtId="0" fontId="0" fillId="0" borderId="8" xfId="0" applyBorder="1" applyAlignment="1">
      <alignment horizontal="left" vertical="center" wrapText="1"/>
    </xf>
    <xf numFmtId="0" fontId="0" fillId="0" borderId="10" xfId="0" applyBorder="1" applyAlignment="1">
      <alignment horizontal="center" vertical="center" wrapText="1"/>
    </xf>
    <xf numFmtId="0" fontId="0" fillId="5" borderId="11" xfId="0" applyFill="1" applyBorder="1"/>
    <xf numFmtId="0" fontId="0" fillId="5" borderId="12" xfId="0" applyFill="1" applyBorder="1"/>
    <xf numFmtId="0" fontId="0" fillId="0" borderId="12" xfId="0" applyBorder="1" applyAlignment="1">
      <alignment horizontal="center" vertical="center" wrapText="1"/>
    </xf>
    <xf numFmtId="0" fontId="0" fillId="0" borderId="12" xfId="0" applyBorder="1" applyAlignment="1">
      <alignment vertical="center" wrapText="1"/>
    </xf>
    <xf numFmtId="0" fontId="0" fillId="0" borderId="12" xfId="0"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5" borderId="0" xfId="0" applyFill="1"/>
    <xf numFmtId="0" fontId="0" fillId="0" borderId="0" xfId="0" applyAlignment="1">
      <alignment horizontal="center" vertical="center" wrapText="1"/>
    </xf>
    <xf numFmtId="0" fontId="0" fillId="5" borderId="1" xfId="0" applyFill="1" applyBorder="1" applyAlignment="1">
      <alignment horizontal="center"/>
    </xf>
    <xf numFmtId="0" fontId="0" fillId="0" borderId="0" xfId="0" applyAlignment="1">
      <alignment horizontal="center"/>
    </xf>
    <xf numFmtId="0" fontId="0" fillId="0" borderId="21" xfId="0" applyBorder="1" applyAlignment="1">
      <alignment horizontal="center" vertical="center" wrapText="1"/>
    </xf>
    <xf numFmtId="0" fontId="0" fillId="0" borderId="2" xfId="0" applyBorder="1" applyAlignment="1">
      <alignment horizontal="center" vertical="center"/>
    </xf>
    <xf numFmtId="1" fontId="0" fillId="0" borderId="23" xfId="0" applyNumberFormat="1" applyBorder="1" applyAlignment="1">
      <alignment horizontal="center" vertical="center"/>
    </xf>
    <xf numFmtId="10" fontId="0" fillId="0" borderId="23" xfId="0" applyNumberFormat="1" applyBorder="1" applyAlignment="1">
      <alignment horizontal="center" vertical="center"/>
    </xf>
    <xf numFmtId="0" fontId="0" fillId="0" borderId="23" xfId="0" applyBorder="1" applyAlignment="1">
      <alignment horizontal="center" vertical="center"/>
    </xf>
    <xf numFmtId="0" fontId="0" fillId="0" borderId="22" xfId="0" applyBorder="1" applyAlignment="1">
      <alignment horizontal="center" vertical="center"/>
    </xf>
    <xf numFmtId="1" fontId="0" fillId="0" borderId="20" xfId="0" applyNumberFormat="1" applyBorder="1" applyAlignment="1">
      <alignment horizontal="center" vertical="center"/>
    </xf>
    <xf numFmtId="0" fontId="0" fillId="0" borderId="19" xfId="0" applyBorder="1"/>
    <xf numFmtId="10" fontId="0" fillId="0" borderId="19" xfId="0" applyNumberFormat="1" applyBorder="1" applyAlignment="1">
      <alignment horizontal="center" vertical="center"/>
    </xf>
    <xf numFmtId="0" fontId="0" fillId="0" borderId="20" xfId="0" applyBorder="1" applyAlignment="1">
      <alignment horizontal="center"/>
    </xf>
    <xf numFmtId="0" fontId="0" fillId="0" borderId="22" xfId="0" applyBorder="1" applyAlignment="1">
      <alignment horizontal="center"/>
    </xf>
    <xf numFmtId="0" fontId="0" fillId="0" borderId="25" xfId="0" applyBorder="1" applyAlignment="1">
      <alignment horizontal="center"/>
    </xf>
    <xf numFmtId="0" fontId="0" fillId="0" borderId="16" xfId="0" applyBorder="1"/>
    <xf numFmtId="2" fontId="0" fillId="0" borderId="23" xfId="0" applyNumberFormat="1" applyBorder="1" applyAlignment="1">
      <alignment horizontal="center" vertical="center"/>
    </xf>
    <xf numFmtId="1" fontId="0" fillId="0" borderId="2" xfId="0" applyNumberFormat="1" applyBorder="1" applyAlignment="1">
      <alignment horizontal="center" vertical="center"/>
    </xf>
    <xf numFmtId="1" fontId="0" fillId="0" borderId="22" xfId="0" applyNumberFormat="1" applyBorder="1" applyAlignment="1">
      <alignment horizontal="center" vertical="center"/>
    </xf>
    <xf numFmtId="9" fontId="0" fillId="0" borderId="19" xfId="0" applyNumberFormat="1" applyBorder="1" applyAlignment="1">
      <alignment horizontal="center" vertical="center"/>
    </xf>
    <xf numFmtId="0" fontId="0" fillId="0" borderId="18" xfId="0" applyBorder="1" applyAlignment="1">
      <alignment horizontal="center" vertical="center" wrapText="1"/>
    </xf>
    <xf numFmtId="0" fontId="0" fillId="0" borderId="17" xfId="0" applyBorder="1" applyAlignment="1">
      <alignment horizontal="center" vertical="center" wrapText="1"/>
    </xf>
    <xf numFmtId="10" fontId="0" fillId="0" borderId="20" xfId="0" applyNumberFormat="1" applyBorder="1" applyAlignment="1">
      <alignment horizontal="center" vertical="center"/>
    </xf>
    <xf numFmtId="2" fontId="0" fillId="0" borderId="20" xfId="0" applyNumberFormat="1" applyBorder="1" applyAlignment="1">
      <alignment horizontal="center" vertical="center"/>
    </xf>
    <xf numFmtId="2" fontId="0" fillId="3" borderId="23" xfId="0" applyNumberFormat="1" applyFill="1" applyBorder="1" applyAlignment="1">
      <alignment horizontal="center" vertical="center"/>
    </xf>
    <xf numFmtId="49" fontId="0" fillId="0" borderId="19" xfId="0" applyNumberFormat="1" applyBorder="1"/>
    <xf numFmtId="0" fontId="0" fillId="0" borderId="26" xfId="0" applyBorder="1" applyAlignment="1">
      <alignment horizontal="center"/>
    </xf>
    <xf numFmtId="49" fontId="0" fillId="0" borderId="18" xfId="0" applyNumberFormat="1" applyBorder="1"/>
    <xf numFmtId="0" fontId="5" fillId="0" borderId="0" xfId="0" applyFont="1"/>
    <xf numFmtId="0" fontId="5" fillId="0" borderId="0" xfId="0" applyFont="1" applyAlignment="1">
      <alignment horizontal="center" vertical="center"/>
    </xf>
    <xf numFmtId="0" fontId="5" fillId="0" borderId="0" xfId="0" applyFont="1" applyAlignment="1">
      <alignment horizontal="center" vertical="center" wrapText="1"/>
    </xf>
    <xf numFmtId="0" fontId="6" fillId="0" borderId="16" xfId="0" applyFont="1" applyBorder="1"/>
    <xf numFmtId="0" fontId="8" fillId="5"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1" xfId="0" applyFont="1" applyBorder="1" applyAlignment="1">
      <alignment horizontal="center" vertical="center" wrapText="1"/>
    </xf>
    <xf numFmtId="2" fontId="6" fillId="0" borderId="1" xfId="0" applyNumberFormat="1" applyFont="1" applyBorder="1" applyAlignment="1">
      <alignment horizontal="center" vertical="center" wrapText="1"/>
    </xf>
    <xf numFmtId="0" fontId="6" fillId="5" borderId="1" xfId="0" applyFont="1" applyFill="1" applyBorder="1" applyAlignment="1">
      <alignment horizontal="center" vertical="center" wrapText="1"/>
    </xf>
    <xf numFmtId="0" fontId="6" fillId="0" borderId="1" xfId="0" applyFont="1" applyBorder="1" applyAlignment="1">
      <alignment horizontal="center" vertical="center"/>
    </xf>
    <xf numFmtId="10" fontId="11" fillId="0" borderId="1" xfId="0" applyNumberFormat="1" applyFont="1" applyBorder="1" applyAlignment="1">
      <alignment horizontal="center" vertical="center"/>
    </xf>
    <xf numFmtId="10" fontId="6" fillId="0" borderId="1" xfId="0" applyNumberFormat="1" applyFont="1" applyBorder="1" applyAlignment="1">
      <alignment horizontal="center" vertical="center"/>
    </xf>
    <xf numFmtId="2"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0" fontId="12" fillId="5" borderId="1" xfId="0" applyFont="1" applyFill="1" applyBorder="1" applyAlignment="1">
      <alignment horizontal="center" vertical="center"/>
    </xf>
    <xf numFmtId="0" fontId="12" fillId="5" borderId="1"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5" borderId="19" xfId="0" applyFont="1" applyFill="1" applyBorder="1" applyAlignment="1">
      <alignment horizontal="center" vertical="center" wrapText="1"/>
    </xf>
    <xf numFmtId="164" fontId="6" fillId="0" borderId="1" xfId="0" applyNumberFormat="1" applyFont="1" applyBorder="1" applyAlignment="1">
      <alignment horizontal="center" vertical="center" wrapText="1"/>
    </xf>
    <xf numFmtId="2" fontId="8" fillId="5" borderId="1" xfId="0" applyNumberFormat="1" applyFont="1" applyFill="1" applyBorder="1" applyAlignment="1">
      <alignment horizontal="center" vertical="center" wrapText="1"/>
    </xf>
    <xf numFmtId="9" fontId="6" fillId="0" borderId="1" xfId="0" applyNumberFormat="1" applyFont="1" applyBorder="1" applyAlignment="1">
      <alignment horizontal="center" vertical="center" wrapText="1"/>
    </xf>
    <xf numFmtId="10" fontId="6"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0" fontId="9" fillId="3" borderId="1" xfId="0" applyFont="1" applyFill="1" applyBorder="1" applyAlignment="1">
      <alignment horizontal="center" vertical="center" textRotation="90"/>
    </xf>
    <xf numFmtId="0" fontId="9" fillId="0" borderId="1" xfId="0" applyFont="1" applyBorder="1" applyAlignment="1">
      <alignment horizontal="center" vertical="center" textRotation="90"/>
    </xf>
    <xf numFmtId="0" fontId="6" fillId="0" borderId="1" xfId="0" applyFont="1" applyBorder="1" applyAlignment="1">
      <alignment vertical="center"/>
    </xf>
    <xf numFmtId="0" fontId="7" fillId="0" borderId="24" xfId="0" applyFont="1" applyBorder="1" applyAlignment="1">
      <alignment horizontal="center" vertical="center"/>
    </xf>
    <xf numFmtId="1" fontId="6"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7" fillId="0" borderId="19" xfId="0" applyFont="1" applyBorder="1" applyAlignment="1">
      <alignment horizontal="center" vertical="center"/>
    </xf>
    <xf numFmtId="0" fontId="12" fillId="5" borderId="19" xfId="0" applyFont="1" applyFill="1" applyBorder="1" applyAlignment="1">
      <alignment vertical="center" wrapText="1"/>
    </xf>
    <xf numFmtId="0" fontId="12" fillId="5" borderId="1" xfId="0" applyFont="1" applyFill="1" applyBorder="1" applyAlignment="1">
      <alignment vertical="center" wrapText="1"/>
    </xf>
    <xf numFmtId="2" fontId="6" fillId="7" borderId="1" xfId="0" applyNumberFormat="1" applyFont="1" applyFill="1" applyBorder="1" applyAlignment="1">
      <alignment horizontal="center" vertical="center" wrapText="1"/>
    </xf>
    <xf numFmtId="2" fontId="11" fillId="7" borderId="1" xfId="0" applyNumberFormat="1" applyFont="1" applyFill="1" applyBorder="1" applyAlignment="1">
      <alignment horizontal="center" vertical="center"/>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17" fillId="5" borderId="1" xfId="0" applyFont="1" applyFill="1" applyBorder="1" applyAlignment="1">
      <alignment horizontal="center" vertical="center" wrapText="1"/>
    </xf>
    <xf numFmtId="0" fontId="19" fillId="0" borderId="1" xfId="0" applyFont="1" applyBorder="1"/>
    <xf numFmtId="0" fontId="0" fillId="0" borderId="1" xfId="0" applyBorder="1" applyAlignment="1">
      <alignment horizontal="center"/>
    </xf>
    <xf numFmtId="0" fontId="3" fillId="0" borderId="0" xfId="0" applyFont="1" applyAlignment="1">
      <alignment horizontal="center"/>
    </xf>
    <xf numFmtId="0" fontId="2" fillId="3" borderId="3" xfId="0" applyFont="1" applyFill="1" applyBorder="1" applyAlignment="1">
      <alignment horizontal="center" vertical="center" textRotation="90"/>
    </xf>
    <xf numFmtId="0" fontId="1" fillId="0" borderId="4" xfId="0" applyFont="1" applyBorder="1" applyAlignment="1">
      <alignment horizontal="center"/>
    </xf>
    <xf numFmtId="0" fontId="1" fillId="0" borderId="5" xfId="0" applyFont="1" applyBorder="1" applyAlignment="1">
      <alignment horizontal="center"/>
    </xf>
    <xf numFmtId="0" fontId="1" fillId="0" borderId="9" xfId="0" applyFont="1" applyBorder="1" applyAlignment="1">
      <alignment horizontal="center"/>
    </xf>
    <xf numFmtId="0" fontId="1" fillId="0" borderId="6" xfId="0" applyFont="1" applyBorder="1" applyAlignment="1">
      <alignment horizontal="center"/>
    </xf>
    <xf numFmtId="0" fontId="13" fillId="6" borderId="3" xfId="0" applyFont="1" applyFill="1" applyBorder="1" applyAlignment="1">
      <alignment horizontal="left" vertical="center"/>
    </xf>
    <xf numFmtId="0" fontId="13" fillId="6" borderId="24" xfId="0" applyFont="1" applyFill="1" applyBorder="1" applyAlignment="1">
      <alignment horizontal="left" vertical="center"/>
    </xf>
    <xf numFmtId="0" fontId="13" fillId="6" borderId="19" xfId="0" applyFont="1" applyFill="1" applyBorder="1" applyAlignment="1">
      <alignment horizontal="left" vertical="center"/>
    </xf>
    <xf numFmtId="0" fontId="9" fillId="3" borderId="21" xfId="0" applyFont="1" applyFill="1" applyBorder="1" applyAlignment="1">
      <alignment horizontal="center" vertical="center" textRotation="90"/>
    </xf>
    <xf numFmtId="0" fontId="9" fillId="3" borderId="2" xfId="0" applyFont="1" applyFill="1" applyBorder="1" applyAlignment="1">
      <alignment horizontal="center" vertical="center" textRotation="90"/>
    </xf>
    <xf numFmtId="0" fontId="9" fillId="3" borderId="22" xfId="0" applyFont="1" applyFill="1" applyBorder="1" applyAlignment="1">
      <alignment horizontal="center" vertical="center" textRotation="90"/>
    </xf>
    <xf numFmtId="0" fontId="7" fillId="0" borderId="3" xfId="0" applyFont="1" applyBorder="1" applyAlignment="1">
      <alignment horizontal="center" vertical="center"/>
    </xf>
    <xf numFmtId="0" fontId="7" fillId="0" borderId="24" xfId="0" applyFont="1" applyBorder="1" applyAlignment="1">
      <alignment horizontal="center" vertical="center"/>
    </xf>
    <xf numFmtId="0" fontId="7" fillId="0" borderId="19" xfId="0" applyFont="1" applyBorder="1" applyAlignment="1">
      <alignment horizontal="center" vertical="center"/>
    </xf>
    <xf numFmtId="0" fontId="12" fillId="5" borderId="3" xfId="0" applyFont="1" applyFill="1" applyBorder="1" applyAlignment="1">
      <alignment horizontal="center" vertical="center" wrapText="1"/>
    </xf>
    <xf numFmtId="0" fontId="12" fillId="5" borderId="19"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12" fillId="5" borderId="24" xfId="0" applyFont="1" applyFill="1" applyBorder="1" applyAlignment="1">
      <alignment horizontal="center" vertical="center" wrapText="1"/>
    </xf>
    <xf numFmtId="0" fontId="10" fillId="0" borderId="3" xfId="0" applyFont="1" applyBorder="1" applyAlignment="1">
      <alignment horizontal="center" vertical="center"/>
    </xf>
    <xf numFmtId="0" fontId="10" fillId="0" borderId="19" xfId="0" applyFont="1" applyBorder="1" applyAlignment="1">
      <alignment horizontal="center" vertical="center"/>
    </xf>
    <xf numFmtId="0" fontId="3" fillId="0" borderId="16" xfId="0" applyFont="1" applyBorder="1" applyAlignment="1">
      <alignment horizontal="left"/>
    </xf>
    <xf numFmtId="0" fontId="3" fillId="0" borderId="17" xfId="0" applyFont="1" applyBorder="1" applyAlignment="1">
      <alignment horizontal="left"/>
    </xf>
    <xf numFmtId="0" fontId="3" fillId="0" borderId="18" xfId="0" applyFont="1" applyBorder="1" applyAlignment="1">
      <alignment horizontal="left"/>
    </xf>
    <xf numFmtId="0" fontId="3" fillId="0" borderId="25" xfId="0" applyFont="1" applyBorder="1" applyAlignment="1">
      <alignment horizontal="left"/>
    </xf>
    <xf numFmtId="0" fontId="3" fillId="0" borderId="26" xfId="0" applyFont="1" applyBorder="1" applyAlignment="1">
      <alignment horizontal="left"/>
    </xf>
    <xf numFmtId="0" fontId="3" fillId="0" borderId="20" xfId="0" applyFont="1" applyBorder="1" applyAlignment="1">
      <alignment horizontal="left"/>
    </xf>
    <xf numFmtId="0" fontId="0" fillId="0" borderId="1" xfId="0" applyBorder="1" applyAlignment="1">
      <alignment horizontal="center"/>
    </xf>
    <xf numFmtId="0" fontId="0" fillId="0" borderId="1" xfId="0" applyBorder="1" applyAlignment="1">
      <alignment horizontal="center" vertical="center"/>
    </xf>
    <xf numFmtId="0" fontId="0" fillId="0" borderId="19" xfId="0" applyBorder="1" applyAlignment="1">
      <alignment horizontal="center" vertical="center"/>
    </xf>
    <xf numFmtId="0" fontId="0" fillId="0" borderId="19" xfId="0" applyBorder="1" applyAlignment="1">
      <alignment horizontal="center"/>
    </xf>
    <xf numFmtId="0" fontId="0" fillId="0" borderId="19" xfId="0" applyBorder="1" applyAlignment="1">
      <alignment horizontal="left" vertical="top"/>
    </xf>
    <xf numFmtId="0" fontId="3" fillId="0" borderId="26" xfId="0" applyFont="1" applyBorder="1" applyAlignment="1">
      <alignment horizontal="center"/>
    </xf>
    <xf numFmtId="0" fontId="0" fillId="0" borderId="18" xfId="0" applyBorder="1" applyAlignment="1">
      <alignment horizontal="center" vertical="center"/>
    </xf>
    <xf numFmtId="0" fontId="0" fillId="0" borderId="18" xfId="0" applyBorder="1" applyAlignment="1">
      <alignment horizontal="left" vertical="top"/>
    </xf>
    <xf numFmtId="0" fontId="0" fillId="8" borderId="1" xfId="0" applyFill="1" applyBorder="1" applyAlignment="1">
      <alignment horizontal="center"/>
    </xf>
    <xf numFmtId="0" fontId="0" fillId="8" borderId="3" xfId="0" applyFill="1" applyBorder="1" applyAlignment="1">
      <alignment horizontal="center"/>
    </xf>
    <xf numFmtId="2" fontId="6" fillId="0" borderId="19" xfId="0" applyNumberFormat="1" applyFont="1" applyBorder="1" applyAlignment="1">
      <alignment horizontal="center" wrapText="1"/>
    </xf>
    <xf numFmtId="2" fontId="6" fillId="0" borderId="1" xfId="0" applyNumberFormat="1" applyFont="1" applyFill="1" applyBorder="1" applyAlignment="1">
      <alignment horizontal="center" wrapText="1"/>
    </xf>
    <xf numFmtId="2" fontId="6" fillId="0" borderId="1" xfId="0" applyNumberFormat="1" applyFont="1" applyBorder="1" applyAlignment="1">
      <alignment horizontal="center" wrapText="1"/>
    </xf>
    <xf numFmtId="2" fontId="0" fillId="0" borderId="1" xfId="0" applyNumberFormat="1" applyBorder="1" applyAlignment="1">
      <alignment horizontal="center"/>
    </xf>
    <xf numFmtId="2" fontId="6" fillId="0" borderId="18" xfId="0" applyNumberFormat="1" applyFont="1" applyBorder="1" applyAlignment="1">
      <alignment horizontal="center" wrapText="1"/>
    </xf>
    <xf numFmtId="2" fontId="6" fillId="0" borderId="21" xfId="0" applyNumberFormat="1" applyFont="1" applyFill="1" applyBorder="1" applyAlignment="1">
      <alignment horizontal="center" wrapText="1"/>
    </xf>
    <xf numFmtId="2" fontId="6" fillId="0" borderId="21" xfId="0" applyNumberFormat="1" applyFont="1" applyBorder="1" applyAlignment="1">
      <alignment horizontal="center" wrapText="1"/>
    </xf>
    <xf numFmtId="2" fontId="0" fillId="0" borderId="21" xfId="0" applyNumberFormat="1" applyBorder="1" applyAlignment="1">
      <alignment horizontal="center"/>
    </xf>
    <xf numFmtId="0" fontId="0" fillId="8" borderId="16" xfId="0" applyFill="1" applyBorder="1" applyAlignment="1">
      <alignment horizontal="center"/>
    </xf>
    <xf numFmtId="0" fontId="0" fillId="3" borderId="1" xfId="0" applyFill="1" applyBorder="1" applyAlignment="1">
      <alignment horizontal="center"/>
    </xf>
    <xf numFmtId="0" fontId="0" fillId="3" borderId="21" xfId="0" applyFill="1" applyBorder="1" applyAlignment="1">
      <alignment horizontal="center"/>
    </xf>
  </cellXfs>
  <cellStyles count="1">
    <cellStyle name="Normal" xfId="0" builtinId="0"/>
  </cellStyles>
  <dxfs count="57">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indent="0" justifyLastLine="0" shrinkToFit="0" readingOrder="0"/>
      <border diagonalUp="0" diagonalDown="0" outline="0">
        <left style="thin">
          <color indexed="64"/>
        </left>
        <right/>
        <top style="thin">
          <color indexed="64"/>
        </top>
        <bottom style="thin">
          <color indexed="64"/>
        </bottom>
      </border>
    </dxf>
    <dxf>
      <numFmt numFmtId="2"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2" formatCode="0.00"/>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2" formatCode="0.00"/>
      <fill>
        <patternFill patternType="solid">
          <fgColor indexed="64"/>
          <bgColor theme="4" tint="0.79998168889431442"/>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2" formatCode="0.00"/>
      <alignment horizontal="center" vertical="bottom"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minor"/>
      </font>
      <alignment horizontal="center" vertical="bottom" textRotation="0" wrapText="0" indent="0" justifyLastLine="0" shrinkToFit="0" readingOrder="0"/>
    </dxf>
    <dxf>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bottom style="thin">
          <color indexed="64"/>
        </bottom>
      </border>
    </dxf>
    <dxf>
      <fill>
        <patternFill>
          <bgColor rgb="FFFFC7CE"/>
        </patternFill>
      </fill>
    </dxf>
    <dxf>
      <fill>
        <patternFill>
          <bgColor rgb="FFFFEB9C"/>
        </patternFill>
      </fill>
    </dxf>
    <dxf>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ill>
        <patternFill>
          <bgColor rgb="FFFFEB9C"/>
        </patternFill>
      </fill>
    </dxf>
    <dxf>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border diagonalUp="0" diagonalDown="0">
        <left style="thin">
          <color indexed="64"/>
        </left>
        <right/>
        <top style="thin">
          <color indexed="64"/>
        </top>
        <bottom style="thin">
          <color indexed="64"/>
        </bottom>
        <vertical/>
        <horizontal/>
      </border>
    </dxf>
    <dxf>
      <numFmt numFmtId="30" formatCode="@"/>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border diagonalUp="0" diagonalDown="0">
        <left style="thin">
          <color indexed="64"/>
        </left>
        <right style="thin">
          <color indexed="64"/>
        </right>
        <vertical/>
      </border>
    </dxf>
    <dxf>
      <numFmt numFmtId="1" formatCode="0"/>
      <alignment horizontal="center" vertical="center" textRotation="0" wrapText="0" indent="0" justifyLastLine="0" shrinkToFit="0" readingOrder="0"/>
      <border diagonalUp="0" diagonalDown="0">
        <left/>
        <right style="thin">
          <color indexed="64"/>
        </right>
        <top/>
        <bottom/>
        <vertical/>
        <horizontal/>
      </border>
    </dxf>
    <dxf>
      <numFmt numFmtId="14" formatCode="0.00%"/>
      <alignment horizontal="center" vertical="center" textRotation="0" wrapText="0" indent="0" justifyLastLine="0" shrinkToFit="0" readingOrder="0"/>
      <border diagonalUp="0" diagonalDown="0">
        <left/>
        <right style="thin">
          <color indexed="64"/>
        </right>
        <top/>
        <bottom/>
        <vertical/>
        <horizontal/>
      </border>
    </dxf>
    <dxf>
      <numFmt numFmtId="1" formatCode="0"/>
      <alignment horizontal="center" vertical="center" textRotation="0" wrapText="0" indent="0" justifyLastLine="0" shrinkToFit="0" readingOrder="0"/>
      <border diagonalUp="0" diagonalDown="0">
        <left/>
        <right style="thin">
          <color indexed="64"/>
        </right>
        <top/>
        <bottom/>
        <vertical/>
        <horizontal/>
      </border>
    </dxf>
    <dxf>
      <alignment horizontal="center" vertical="center" textRotation="0" wrapText="0"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C7CE"/>
      <color rgb="FFFFEB9C"/>
      <color rgb="FFC6EFCE"/>
      <color rgb="FFC1DA46"/>
      <color rgb="FFFFCC99"/>
      <color rgb="FFCCFF66"/>
      <color rgb="FFFF7C80"/>
      <color rgb="FFF6A3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7620</xdr:colOff>
      <xdr:row>1</xdr:row>
      <xdr:rowOff>68580</xdr:rowOff>
    </xdr:from>
    <xdr:to>
      <xdr:col>17</xdr:col>
      <xdr:colOff>464820</xdr:colOff>
      <xdr:row>25</xdr:row>
      <xdr:rowOff>66815</xdr:rowOff>
    </xdr:to>
    <xdr:pic>
      <xdr:nvPicPr>
        <xdr:cNvPr id="3" name="Picture 2">
          <a:extLst>
            <a:ext uri="{FF2B5EF4-FFF2-40B4-BE49-F238E27FC236}">
              <a16:creationId xmlns:a16="http://schemas.microsoft.com/office/drawing/2014/main" id="{14DD1DA7-ABEE-FCD5-C66B-AA513E3605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64280" y="251460"/>
          <a:ext cx="7772400" cy="438735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77FB11-DAE1-46D4-8353-02A7B39C0C13}" name="Table4" displayName="Table4" ref="E1:L13" totalsRowShown="0" headerRowDxfId="6" headerRowBorderDxfId="9" tableBorderDxfId="10">
  <autoFilter ref="E1:L13" xr:uid="{B777FB11-DAE1-46D4-8353-02A7B39C0C13}"/>
  <tableColumns count="8">
    <tableColumn id="1" xr3:uid="{D98B667B-8DCC-4365-8AF5-C5115951370D}" name="Column1" dataDxfId="8"/>
    <tableColumn id="2" xr3:uid="{339ECC96-7CB9-446B-BE6F-C7DC8E7F15AC}" name="Column2" dataDxfId="7"/>
    <tableColumn id="3" xr3:uid="{05573920-D3A8-4A5D-A216-F9661DA3E99E}" name="Column3" dataDxfId="5"/>
    <tableColumn id="4" xr3:uid="{8975F0AF-594F-4475-B72F-1F9C0B654B2C}" name="Column4" dataDxfId="4"/>
    <tableColumn id="5" xr3:uid="{D82953EF-0229-4CAE-9EF6-D3CC1EA165B6}" name="Column5" dataDxfId="3"/>
    <tableColumn id="6" xr3:uid="{E6F559D2-401D-41F4-A65E-A648661623BA}" name="Column6" dataDxfId="2">
      <calculatedColumnFormula>H2/G2*100</calculatedColumnFormula>
    </tableColumn>
    <tableColumn id="7" xr3:uid="{BD239C60-BBE5-4C73-A069-DFF312BCEE7D}" name="Column7" dataDxfId="1"/>
    <tableColumn id="8" xr3:uid="{28F43FDD-92AE-4B1B-AA15-FB0FC5B0BFB5}" name="Column8" dataDxfId="0"/>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A5394B-B802-49D4-94FC-D5BDC42FE8D4}" name="Table1" displayName="Table1" ref="D2:I9" totalsRowShown="0" headerRowDxfId="56" dataDxfId="54" headerRowBorderDxfId="55" tableBorderDxfId="53">
  <autoFilter ref="D2:I9" xr:uid="{A0A5394B-B802-49D4-94FC-D5BDC42FE8D4}"/>
  <tableColumns count="6">
    <tableColumn id="1" xr3:uid="{D479AD34-0709-471C-BFA9-E2AB305B18DE}" name="Column1" dataDxfId="52"/>
    <tableColumn id="2" xr3:uid="{0A213B70-C998-4C65-8B6C-D8FF6504BAC0}" name="Column2" dataDxfId="51"/>
    <tableColumn id="3" xr3:uid="{B7275E63-2824-45C4-9E12-160815532914}" name="Column3" dataDxfId="50"/>
    <tableColumn id="4" xr3:uid="{1206748E-C902-4705-BB6B-A43B555EACB3}" name="Column4" dataDxfId="49"/>
    <tableColumn id="5" xr3:uid="{84C28138-07D6-40DD-A21A-F4B59EA3E089}" name="Column5" dataDxfId="48"/>
    <tableColumn id="6" xr3:uid="{C1DD9BD2-4759-4EE9-994D-5F8C00DDD231}" name="Column6" dataDxfId="47"/>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11F61A-C9F6-4251-840F-D458F99B28B1}" name="Table2" displayName="Table2" ref="B9:C14" totalsRowShown="0" headerRowDxfId="46" headerRowBorderDxfId="45" tableBorderDxfId="44" totalsRowBorderDxfId="43">
  <autoFilter ref="B9:C14" xr:uid="{3F11F61A-C9F6-4251-840F-D458F99B28B1}"/>
  <tableColumns count="2">
    <tableColumn id="1" xr3:uid="{7DD0B6BF-2FDE-4424-B5BB-B2F3FBCA8085}" name="Impact Scale" dataDxfId="42"/>
    <tableColumn id="2" xr3:uid="{DB9161AA-F112-4062-95C7-44C05294819C}" name="Column1" dataDxfId="41"/>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6B14C-7047-4DEC-8638-B21A264E258E}">
  <dimension ref="A1:O15"/>
  <sheetViews>
    <sheetView workbookViewId="0">
      <pane xSplit="1" ySplit="3" topLeftCell="B4" activePane="bottomRight" state="frozen"/>
      <selection pane="topRight" activeCell="B1" sqref="B1"/>
      <selection pane="bottomLeft" activeCell="A2" sqref="A2"/>
      <selection pane="bottomRight" activeCell="I9" sqref="I9"/>
    </sheetView>
  </sheetViews>
  <sheetFormatPr defaultRowHeight="49.95" customHeight="1" x14ac:dyDescent="0.3"/>
  <cols>
    <col min="1" max="1" width="12" bestFit="1" customWidth="1"/>
    <col min="2" max="2" width="43.88671875" customWidth="1"/>
    <col min="3" max="3" width="9.21875" style="30" bestFit="1" customWidth="1"/>
    <col min="4" max="4" width="14" bestFit="1" customWidth="1"/>
    <col min="5" max="5" width="10" bestFit="1" customWidth="1"/>
    <col min="6" max="6" width="12.5546875" bestFit="1" customWidth="1"/>
    <col min="7" max="7" width="11.6640625" bestFit="1" customWidth="1"/>
    <col min="8" max="8" width="20.44140625" customWidth="1"/>
    <col min="9" max="9" width="14.109375" customWidth="1"/>
    <col min="10" max="10" width="15.44140625" customWidth="1"/>
    <col min="11" max="11" width="11.21875" customWidth="1"/>
    <col min="12" max="12" width="9.21875" style="30" customWidth="1"/>
    <col min="13" max="13" width="15.77734375" customWidth="1"/>
    <col min="14" max="14" width="18.109375" customWidth="1"/>
    <col min="15" max="15" width="32.6640625" bestFit="1" customWidth="1"/>
  </cols>
  <sheetData>
    <row r="1" spans="1:15" ht="49.95" customHeight="1" thickBot="1" x14ac:dyDescent="0.35">
      <c r="A1" s="96" t="s">
        <v>60</v>
      </c>
      <c r="B1" s="96"/>
      <c r="C1" s="96"/>
      <c r="D1" s="96"/>
      <c r="E1" s="96"/>
      <c r="F1" s="96"/>
      <c r="G1" s="96"/>
      <c r="H1" s="96"/>
      <c r="I1" s="96"/>
      <c r="J1" s="96"/>
      <c r="K1" s="96"/>
      <c r="L1" s="96"/>
      <c r="M1" s="96"/>
      <c r="N1" s="96"/>
    </row>
    <row r="2" spans="1:15" ht="49.95" customHeight="1" x14ac:dyDescent="0.3">
      <c r="A2" s="7"/>
      <c r="B2" s="98" t="s">
        <v>3</v>
      </c>
      <c r="C2" s="99"/>
      <c r="D2" s="99"/>
      <c r="E2" s="100"/>
      <c r="F2" s="100"/>
      <c r="G2" s="101"/>
      <c r="H2" s="98" t="s">
        <v>19</v>
      </c>
      <c r="I2" s="99"/>
      <c r="J2" s="101"/>
      <c r="K2" s="98" t="s">
        <v>7</v>
      </c>
      <c r="L2" s="99"/>
      <c r="M2" s="101"/>
      <c r="N2" s="19"/>
    </row>
    <row r="3" spans="1:15" ht="49.95" customHeight="1" x14ac:dyDescent="0.3">
      <c r="A3" s="8" t="s">
        <v>8</v>
      </c>
      <c r="B3" s="9" t="s">
        <v>3</v>
      </c>
      <c r="C3" s="29" t="s">
        <v>4</v>
      </c>
      <c r="D3" s="6" t="s">
        <v>5</v>
      </c>
      <c r="E3" s="6" t="s">
        <v>21</v>
      </c>
      <c r="F3" s="6" t="s">
        <v>29</v>
      </c>
      <c r="G3" s="10" t="s">
        <v>34</v>
      </c>
      <c r="H3" s="14" t="s">
        <v>6</v>
      </c>
      <c r="I3" s="6" t="s">
        <v>17</v>
      </c>
      <c r="J3" s="10" t="s">
        <v>18</v>
      </c>
      <c r="K3" s="9" t="s">
        <v>7</v>
      </c>
      <c r="L3" s="29" t="s">
        <v>4</v>
      </c>
      <c r="M3" s="10" t="s">
        <v>5</v>
      </c>
      <c r="N3" s="20" t="s">
        <v>20</v>
      </c>
      <c r="O3" s="27"/>
    </row>
    <row r="4" spans="1:15" ht="49.95" customHeight="1" x14ac:dyDescent="0.3">
      <c r="A4" s="8"/>
      <c r="B4" s="9"/>
      <c r="C4" s="29"/>
      <c r="D4" s="6"/>
      <c r="E4" s="6" t="s">
        <v>32</v>
      </c>
      <c r="F4" s="6" t="s">
        <v>33</v>
      </c>
      <c r="G4" s="10" t="s">
        <v>35</v>
      </c>
      <c r="H4" s="9"/>
      <c r="I4" s="6"/>
      <c r="J4" s="10"/>
      <c r="K4" s="9"/>
      <c r="L4" s="29"/>
      <c r="M4" s="10"/>
      <c r="N4" s="20"/>
    </row>
    <row r="5" spans="1:15" ht="49.95" customHeight="1" x14ac:dyDescent="0.3">
      <c r="A5" s="97" t="s">
        <v>0</v>
      </c>
      <c r="B5" s="11" t="s">
        <v>27</v>
      </c>
      <c r="C5" s="12" t="s">
        <v>14</v>
      </c>
      <c r="D5" s="12" t="s">
        <v>70</v>
      </c>
      <c r="E5" s="12" t="s">
        <v>22</v>
      </c>
      <c r="F5" s="12" t="s">
        <v>28</v>
      </c>
      <c r="G5" s="13" t="s">
        <v>30</v>
      </c>
      <c r="H5" s="11" t="s">
        <v>36</v>
      </c>
      <c r="I5" s="12" t="s">
        <v>37</v>
      </c>
      <c r="J5" s="13" t="s">
        <v>38</v>
      </c>
      <c r="K5" s="11" t="s">
        <v>39</v>
      </c>
      <c r="L5" s="12" t="s">
        <v>15</v>
      </c>
      <c r="M5" s="13" t="s">
        <v>40</v>
      </c>
      <c r="N5" s="21"/>
      <c r="O5" s="28"/>
    </row>
    <row r="6" spans="1:15" ht="49.95" customHeight="1" x14ac:dyDescent="0.3">
      <c r="A6" s="97"/>
      <c r="B6" s="15" t="s">
        <v>26</v>
      </c>
      <c r="C6" s="12" t="s">
        <v>15</v>
      </c>
      <c r="D6" s="16" t="s">
        <v>128</v>
      </c>
      <c r="E6" s="12" t="s">
        <v>22</v>
      </c>
      <c r="F6" s="16" t="s">
        <v>28</v>
      </c>
      <c r="G6" s="17" t="s">
        <v>30</v>
      </c>
      <c r="H6" s="11" t="s">
        <v>41</v>
      </c>
      <c r="I6" s="12" t="s">
        <v>37</v>
      </c>
      <c r="J6" s="17" t="s">
        <v>42</v>
      </c>
      <c r="K6" s="15" t="s">
        <v>43</v>
      </c>
      <c r="L6" s="12" t="s">
        <v>15</v>
      </c>
      <c r="M6" s="17" t="s">
        <v>45</v>
      </c>
      <c r="N6" s="22"/>
    </row>
    <row r="7" spans="1:15" ht="49.95" customHeight="1" x14ac:dyDescent="0.3">
      <c r="A7" s="97"/>
      <c r="B7" s="11" t="s">
        <v>62</v>
      </c>
      <c r="C7" s="12" t="s">
        <v>15</v>
      </c>
      <c r="D7" s="12" t="s">
        <v>71</v>
      </c>
      <c r="E7" s="12" t="s">
        <v>21</v>
      </c>
      <c r="F7" s="12" t="s">
        <v>28</v>
      </c>
      <c r="G7" s="13" t="s">
        <v>30</v>
      </c>
      <c r="H7" s="11" t="s">
        <v>63</v>
      </c>
      <c r="I7" s="12" t="s">
        <v>37</v>
      </c>
      <c r="J7" s="13" t="s">
        <v>38</v>
      </c>
      <c r="K7" s="11" t="s">
        <v>64</v>
      </c>
      <c r="L7" s="12" t="s">
        <v>14</v>
      </c>
      <c r="M7" s="13" t="s">
        <v>65</v>
      </c>
      <c r="N7" s="23"/>
    </row>
    <row r="8" spans="1:15" ht="49.95" customHeight="1" x14ac:dyDescent="0.3">
      <c r="A8" s="97" t="s">
        <v>1</v>
      </c>
      <c r="B8" s="11" t="s">
        <v>44</v>
      </c>
      <c r="C8" s="12" t="s">
        <v>13</v>
      </c>
      <c r="D8" s="12" t="s">
        <v>72</v>
      </c>
      <c r="E8" s="12" t="s">
        <v>21</v>
      </c>
      <c r="F8" s="12" t="s">
        <v>28</v>
      </c>
      <c r="G8" s="13" t="s">
        <v>30</v>
      </c>
      <c r="H8" s="11" t="s">
        <v>46</v>
      </c>
      <c r="I8" s="12" t="s">
        <v>37</v>
      </c>
      <c r="J8" s="13" t="s">
        <v>38</v>
      </c>
      <c r="K8" s="11" t="s">
        <v>47</v>
      </c>
      <c r="L8" s="12" t="s">
        <v>14</v>
      </c>
      <c r="M8" s="13" t="s">
        <v>55</v>
      </c>
      <c r="N8" s="23"/>
    </row>
    <row r="9" spans="1:15" ht="49.95" customHeight="1" x14ac:dyDescent="0.3">
      <c r="A9" s="97"/>
      <c r="B9" s="11" t="s">
        <v>66</v>
      </c>
      <c r="C9" s="12" t="s">
        <v>14</v>
      </c>
      <c r="D9" s="12" t="s">
        <v>73</v>
      </c>
      <c r="E9" s="12" t="s">
        <v>21</v>
      </c>
      <c r="F9" s="12" t="s">
        <v>28</v>
      </c>
      <c r="G9" s="13" t="s">
        <v>30</v>
      </c>
      <c r="H9" s="11" t="s">
        <v>61</v>
      </c>
      <c r="I9" s="12" t="s">
        <v>37</v>
      </c>
      <c r="J9" s="13" t="s">
        <v>42</v>
      </c>
      <c r="K9" s="11" t="s">
        <v>48</v>
      </c>
      <c r="L9" s="12" t="s">
        <v>15</v>
      </c>
      <c r="M9" s="13" t="s">
        <v>56</v>
      </c>
      <c r="N9" s="23"/>
    </row>
    <row r="10" spans="1:15" ht="49.95" customHeight="1" x14ac:dyDescent="0.3">
      <c r="A10" s="97"/>
      <c r="B10" s="62" t="s">
        <v>104</v>
      </c>
      <c r="C10" s="12" t="s">
        <v>15</v>
      </c>
      <c r="D10" s="12" t="s">
        <v>129</v>
      </c>
      <c r="E10" s="12" t="s">
        <v>22</v>
      </c>
      <c r="F10" s="12" t="s">
        <v>28</v>
      </c>
      <c r="G10" s="13" t="s">
        <v>30</v>
      </c>
      <c r="H10" s="11" t="s">
        <v>49</v>
      </c>
      <c r="I10" s="12" t="s">
        <v>37</v>
      </c>
      <c r="J10" s="13" t="s">
        <v>42</v>
      </c>
      <c r="K10" s="11" t="s">
        <v>50</v>
      </c>
      <c r="L10" s="12" t="s">
        <v>15</v>
      </c>
      <c r="M10" s="13" t="s">
        <v>57</v>
      </c>
      <c r="N10" s="23"/>
    </row>
    <row r="11" spans="1:15" ht="49.95" customHeight="1" x14ac:dyDescent="0.3">
      <c r="A11" s="97" t="s">
        <v>2</v>
      </c>
      <c r="B11" s="11" t="s">
        <v>24</v>
      </c>
      <c r="C11" s="12" t="s">
        <v>13</v>
      </c>
      <c r="D11" s="12" t="s">
        <v>130</v>
      </c>
      <c r="E11" s="12" t="s">
        <v>21</v>
      </c>
      <c r="F11" s="12" t="s">
        <v>28</v>
      </c>
      <c r="G11" s="13" t="s">
        <v>30</v>
      </c>
      <c r="H11" s="11" t="s">
        <v>51</v>
      </c>
      <c r="I11" s="12" t="s">
        <v>52</v>
      </c>
      <c r="J11" s="13" t="s">
        <v>38</v>
      </c>
      <c r="K11" s="11" t="s">
        <v>53</v>
      </c>
      <c r="L11" s="12" t="s">
        <v>14</v>
      </c>
      <c r="M11" s="13" t="s">
        <v>58</v>
      </c>
      <c r="N11" s="24"/>
    </row>
    <row r="12" spans="1:15" ht="49.95" customHeight="1" x14ac:dyDescent="0.3">
      <c r="A12" s="97"/>
      <c r="B12" s="18" t="s">
        <v>25</v>
      </c>
      <c r="C12" s="12" t="s">
        <v>15</v>
      </c>
      <c r="D12" s="12" t="s">
        <v>74</v>
      </c>
      <c r="E12" s="12" t="s">
        <v>21</v>
      </c>
      <c r="F12" s="12" t="s">
        <v>29</v>
      </c>
      <c r="G12" s="13" t="s">
        <v>31</v>
      </c>
      <c r="H12" s="11" t="s">
        <v>67</v>
      </c>
      <c r="I12" s="12" t="s">
        <v>37</v>
      </c>
      <c r="J12" s="13" t="s">
        <v>38</v>
      </c>
      <c r="K12" s="11" t="s">
        <v>54</v>
      </c>
      <c r="L12" s="12" t="s">
        <v>15</v>
      </c>
      <c r="M12" s="13" t="s">
        <v>16</v>
      </c>
      <c r="N12" s="25"/>
    </row>
    <row r="13" spans="1:15" ht="49.95" customHeight="1" thickBot="1" x14ac:dyDescent="0.35">
      <c r="A13" s="97"/>
      <c r="B13" s="11" t="s">
        <v>23</v>
      </c>
      <c r="C13" s="12" t="s">
        <v>13</v>
      </c>
      <c r="D13" s="12" t="s">
        <v>75</v>
      </c>
      <c r="E13" s="12" t="s">
        <v>21</v>
      </c>
      <c r="F13" s="12" t="s">
        <v>28</v>
      </c>
      <c r="G13" s="13" t="s">
        <v>30</v>
      </c>
      <c r="H13" s="11" t="s">
        <v>68</v>
      </c>
      <c r="I13" s="12" t="s">
        <v>37</v>
      </c>
      <c r="J13" s="13" t="s">
        <v>38</v>
      </c>
      <c r="K13" s="11" t="s">
        <v>69</v>
      </c>
      <c r="L13" s="12" t="s">
        <v>14</v>
      </c>
      <c r="M13" s="13" t="s">
        <v>59</v>
      </c>
      <c r="N13" s="26"/>
    </row>
    <row r="15" spans="1:15" ht="49.95" customHeight="1" x14ac:dyDescent="0.3">
      <c r="D15" s="28" t="s">
        <v>76</v>
      </c>
    </row>
  </sheetData>
  <mergeCells count="7">
    <mergeCell ref="A1:N1"/>
    <mergeCell ref="A11:A13"/>
    <mergeCell ref="B2:G2"/>
    <mergeCell ref="H2:J2"/>
    <mergeCell ref="K2:M2"/>
    <mergeCell ref="A8:A10"/>
    <mergeCell ref="A5:A7"/>
  </mergeCells>
  <conditionalFormatting sqref="C5:C13">
    <cfRule type="cellIs" dxfId="40" priority="10" operator="equal">
      <formula>"High"</formula>
    </cfRule>
    <cfRule type="cellIs" dxfId="39" priority="11" operator="equal">
      <formula>"Medium"</formula>
    </cfRule>
    <cfRule type="cellIs" dxfId="38" priority="12" operator="equal">
      <formula>"Low"</formula>
    </cfRule>
  </conditionalFormatting>
  <conditionalFormatting sqref="L5:L13">
    <cfRule type="cellIs" dxfId="37" priority="1" operator="equal">
      <formula>"High"</formula>
    </cfRule>
    <cfRule type="cellIs" dxfId="36" priority="2" operator="equal">
      <formula>"Medium"</formula>
    </cfRule>
    <cfRule type="cellIs" dxfId="35" priority="3" operator="equal">
      <formula>"Low"</formula>
    </cfRule>
  </conditionalFormatting>
  <dataValidations count="6">
    <dataValidation type="list" allowBlank="1" showInputMessage="1" showErrorMessage="1" sqref="E5:E13" xr:uid="{890D3867-7DEE-4EF0-BEE8-C60A39C22022}">
      <formula1>"External,Internal"</formula1>
    </dataValidation>
    <dataValidation type="list" allowBlank="1" showInputMessage="1" showErrorMessage="1" sqref="F5:F13" xr:uid="{02CC4A8E-2E94-466E-9F4D-99571CC956E0}">
      <formula1>"Natural, Man-made"</formula1>
    </dataValidation>
    <dataValidation type="list" allowBlank="1" showInputMessage="1" showErrorMessage="1" sqref="G5:G13" xr:uid="{13869164-F807-44B4-A58E-0A7F54A5AAA6}">
      <formula1>"Intentional, Accidental"</formula1>
    </dataValidation>
    <dataValidation type="list" allowBlank="1" showInputMessage="1" showErrorMessage="1" sqref="C5:C13 L5:L13" xr:uid="{6CE6F7B9-D884-424A-A2F4-B5A27A3D566F}">
      <formula1>"Low,Medium,High"</formula1>
    </dataValidation>
    <dataValidation type="list" allowBlank="1" showInputMessage="1" showErrorMessage="1" sqref="I5:I13" xr:uid="{92412196-DE34-4EAB-A897-3B70B4837FDA}">
      <formula1>"Preventive,Detective,Corrective"</formula1>
    </dataValidation>
    <dataValidation type="list" allowBlank="1" showInputMessage="1" showErrorMessage="1" sqref="J5:J13" xr:uid="{0841D77E-83F4-45E1-8E73-82D744CCBDA1}">
      <formula1>"Manual,Automated"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C3BF-23AD-448C-943A-AE62BFFF146A}">
  <dimension ref="A1:AL24"/>
  <sheetViews>
    <sheetView workbookViewId="0">
      <pane xSplit="2" ySplit="4" topLeftCell="C23" activePane="bottomRight" state="frozen"/>
      <selection pane="topRight" activeCell="C1" sqref="C1"/>
      <selection pane="bottomLeft" activeCell="A5" sqref="A5"/>
      <selection pane="bottomRight" activeCell="B7" sqref="B7"/>
    </sheetView>
  </sheetViews>
  <sheetFormatPr defaultRowHeight="64.95" customHeight="1" x14ac:dyDescent="0.25"/>
  <cols>
    <col min="1" max="1" width="29.88671875" style="56" bestFit="1" customWidth="1"/>
    <col min="2" max="2" width="71" style="56" bestFit="1" customWidth="1"/>
    <col min="3" max="4" width="8.44140625" style="57" bestFit="1" customWidth="1"/>
    <col min="5" max="5" width="8.21875" style="57" bestFit="1" customWidth="1"/>
    <col min="6" max="6" width="10.33203125" style="57" bestFit="1" customWidth="1"/>
    <col min="7" max="7" width="15.88671875" style="57" customWidth="1"/>
    <col min="8" max="8" width="7.6640625" style="57" bestFit="1" customWidth="1"/>
    <col min="9" max="9" width="4.44140625" style="57" bestFit="1" customWidth="1"/>
    <col min="10" max="10" width="3" style="57" bestFit="1" customWidth="1"/>
    <col min="11" max="11" width="8.88671875" style="57" bestFit="1" customWidth="1"/>
    <col min="12" max="12" width="11.109375" style="57" bestFit="1" customWidth="1"/>
    <col min="13" max="13" width="11.33203125" style="57" bestFit="1" customWidth="1"/>
    <col min="14" max="14" width="122.88671875" style="57" bestFit="1" customWidth="1"/>
    <col min="15" max="15" width="11.44140625" style="57" bestFit="1" customWidth="1"/>
    <col min="16" max="16" width="10.6640625" style="57" bestFit="1" customWidth="1"/>
    <col min="17" max="17" width="11.109375" style="57" bestFit="1" customWidth="1"/>
    <col min="18" max="18" width="12.5546875" style="57" bestFit="1" customWidth="1"/>
    <col min="19" max="20" width="11.109375" style="57" bestFit="1" customWidth="1"/>
    <col min="21" max="21" width="52.109375" style="57" bestFit="1" customWidth="1"/>
    <col min="22" max="22" width="9.88671875" style="57" bestFit="1" customWidth="1"/>
    <col min="23" max="23" width="10.109375" style="57" bestFit="1" customWidth="1"/>
    <col min="24" max="24" width="7.6640625" style="57" bestFit="1" customWidth="1"/>
    <col min="25" max="25" width="7" style="57" bestFit="1" customWidth="1"/>
    <col min="26" max="26" width="3" style="57" bestFit="1" customWidth="1"/>
    <col min="27" max="27" width="8.88671875" style="57" bestFit="1" customWidth="1"/>
    <col min="28" max="28" width="11.44140625" style="57" bestFit="1" customWidth="1"/>
    <col min="29" max="29" width="9.109375" style="57" bestFit="1" customWidth="1"/>
    <col min="30" max="30" width="8.88671875" style="57" bestFit="1" customWidth="1"/>
    <col min="31" max="31" width="9.109375" style="57" bestFit="1" customWidth="1"/>
    <col min="32" max="32" width="8.77734375" style="57" bestFit="1" customWidth="1"/>
    <col min="33" max="33" width="6.5546875" style="57" bestFit="1" customWidth="1"/>
    <col min="34" max="34" width="14.6640625" style="57" bestFit="1" customWidth="1"/>
    <col min="35" max="35" width="14" style="57" bestFit="1" customWidth="1"/>
    <col min="36" max="36" width="28.33203125" style="57" bestFit="1" customWidth="1"/>
    <col min="37" max="37" width="50.44140625" style="57" customWidth="1"/>
    <col min="38" max="16384" width="8.88671875" style="56"/>
  </cols>
  <sheetData>
    <row r="1" spans="1:38" ht="40.049999999999997" customHeight="1" x14ac:dyDescent="0.25">
      <c r="A1" s="102" t="s">
        <v>134</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4"/>
    </row>
    <row r="2" spans="1:38" ht="40.049999999999997" customHeight="1" x14ac:dyDescent="0.3">
      <c r="A2" s="59"/>
      <c r="B2" s="108" t="s">
        <v>3</v>
      </c>
      <c r="C2" s="109"/>
      <c r="D2" s="109"/>
      <c r="E2" s="109"/>
      <c r="F2" s="109"/>
      <c r="G2" s="109"/>
      <c r="H2" s="109"/>
      <c r="I2" s="109"/>
      <c r="J2" s="109"/>
      <c r="K2" s="109"/>
      <c r="L2" s="109"/>
      <c r="M2" s="110"/>
      <c r="N2" s="108" t="s">
        <v>19</v>
      </c>
      <c r="O2" s="109"/>
      <c r="P2" s="109"/>
      <c r="Q2" s="109"/>
      <c r="R2" s="109"/>
      <c r="S2" s="109"/>
      <c r="T2" s="110"/>
      <c r="U2" s="108" t="s">
        <v>7</v>
      </c>
      <c r="V2" s="109"/>
      <c r="W2" s="109"/>
      <c r="X2" s="109"/>
      <c r="Y2" s="109"/>
      <c r="Z2" s="109"/>
      <c r="AA2" s="109"/>
      <c r="AB2" s="109"/>
      <c r="AC2" s="108" t="s">
        <v>136</v>
      </c>
      <c r="AD2" s="109"/>
      <c r="AE2" s="109"/>
      <c r="AF2" s="109"/>
      <c r="AG2" s="109"/>
      <c r="AH2" s="109"/>
      <c r="AI2" s="109"/>
      <c r="AJ2" s="83" t="s">
        <v>199</v>
      </c>
      <c r="AK2" s="82"/>
    </row>
    <row r="3" spans="1:38" ht="72.599999999999994" customHeight="1" x14ac:dyDescent="0.25">
      <c r="A3" s="71" t="s">
        <v>8</v>
      </c>
      <c r="B3" s="71" t="s">
        <v>3</v>
      </c>
      <c r="C3" s="72" t="s">
        <v>98</v>
      </c>
      <c r="D3" s="72" t="s">
        <v>80</v>
      </c>
      <c r="E3" s="72" t="s">
        <v>81</v>
      </c>
      <c r="F3" s="71" t="s">
        <v>34</v>
      </c>
      <c r="G3" s="111" t="s">
        <v>84</v>
      </c>
      <c r="H3" s="112"/>
      <c r="I3" s="111" t="s">
        <v>77</v>
      </c>
      <c r="J3" s="112" t="s">
        <v>122</v>
      </c>
      <c r="K3" s="72" t="s">
        <v>82</v>
      </c>
      <c r="L3" s="72" t="s">
        <v>167</v>
      </c>
      <c r="M3" s="72" t="s">
        <v>96</v>
      </c>
      <c r="N3" s="71" t="s">
        <v>146</v>
      </c>
      <c r="O3" s="71" t="s">
        <v>17</v>
      </c>
      <c r="P3" s="72" t="s">
        <v>79</v>
      </c>
      <c r="Q3" s="72" t="s">
        <v>132</v>
      </c>
      <c r="R3" s="72" t="s">
        <v>131</v>
      </c>
      <c r="S3" s="72" t="s">
        <v>133</v>
      </c>
      <c r="T3" s="72" t="s">
        <v>166</v>
      </c>
      <c r="U3" s="72" t="s">
        <v>114</v>
      </c>
      <c r="V3" s="72" t="s">
        <v>98</v>
      </c>
      <c r="W3" s="111" t="s">
        <v>84</v>
      </c>
      <c r="X3" s="112"/>
      <c r="Y3" s="111" t="s">
        <v>77</v>
      </c>
      <c r="Z3" s="112" t="s">
        <v>97</v>
      </c>
      <c r="AA3" s="72" t="s">
        <v>135</v>
      </c>
      <c r="AB3" s="72" t="s">
        <v>165</v>
      </c>
      <c r="AC3" s="72" t="s">
        <v>160</v>
      </c>
      <c r="AD3" s="74" t="s">
        <v>163</v>
      </c>
      <c r="AE3" s="73" t="s">
        <v>162</v>
      </c>
      <c r="AF3" s="111" t="s">
        <v>171</v>
      </c>
      <c r="AG3" s="115"/>
      <c r="AH3" s="112"/>
      <c r="AI3" s="72" t="s">
        <v>161</v>
      </c>
      <c r="AJ3" s="72" t="s">
        <v>170</v>
      </c>
      <c r="AK3" s="72" t="s">
        <v>201</v>
      </c>
    </row>
    <row r="4" spans="1:38" ht="40.049999999999997" customHeight="1" x14ac:dyDescent="0.25">
      <c r="A4" s="60" t="s">
        <v>200</v>
      </c>
      <c r="B4" s="60"/>
      <c r="C4" s="60"/>
      <c r="D4" s="61"/>
      <c r="E4" s="61"/>
      <c r="F4" s="60"/>
      <c r="G4" s="60" t="s">
        <v>83</v>
      </c>
      <c r="H4" s="60" t="s">
        <v>78</v>
      </c>
      <c r="I4" s="61"/>
      <c r="J4" s="61"/>
      <c r="K4" s="61"/>
      <c r="L4" s="61">
        <v>100</v>
      </c>
      <c r="M4" s="61"/>
      <c r="N4" s="60"/>
      <c r="O4" s="60"/>
      <c r="P4" s="61"/>
      <c r="Q4" s="76"/>
      <c r="R4" s="61"/>
      <c r="S4" s="61"/>
      <c r="T4" s="61">
        <v>100</v>
      </c>
      <c r="U4" s="61"/>
      <c r="V4" s="60"/>
      <c r="W4" s="60" t="s">
        <v>83</v>
      </c>
      <c r="X4" s="60" t="s">
        <v>78</v>
      </c>
      <c r="Y4" s="61"/>
      <c r="Z4" s="61"/>
      <c r="AA4" s="61"/>
      <c r="AB4" s="61">
        <v>100</v>
      </c>
      <c r="AC4" s="61"/>
      <c r="AD4" s="61"/>
      <c r="AE4" s="61"/>
      <c r="AF4" s="72" t="s">
        <v>137</v>
      </c>
      <c r="AG4" s="72" t="s">
        <v>138</v>
      </c>
      <c r="AH4" s="61" t="s">
        <v>139</v>
      </c>
      <c r="AI4" s="61"/>
      <c r="AJ4" s="61"/>
      <c r="AK4" s="61"/>
    </row>
    <row r="5" spans="1:38" ht="40.049999999999997" customHeight="1" x14ac:dyDescent="0.25">
      <c r="A5" s="60"/>
      <c r="B5" s="60" t="s">
        <v>140</v>
      </c>
      <c r="C5" s="60" t="s">
        <v>141</v>
      </c>
      <c r="D5" s="61" t="s">
        <v>142</v>
      </c>
      <c r="E5" s="61" t="s">
        <v>143</v>
      </c>
      <c r="F5" s="60" t="s">
        <v>174</v>
      </c>
      <c r="G5" s="60" t="s">
        <v>144</v>
      </c>
      <c r="H5" s="60" t="s">
        <v>145</v>
      </c>
      <c r="I5" s="60" t="s">
        <v>147</v>
      </c>
      <c r="J5" s="61" t="s">
        <v>148</v>
      </c>
      <c r="K5" s="61" t="s">
        <v>175</v>
      </c>
      <c r="L5" s="61" t="s">
        <v>176</v>
      </c>
      <c r="M5" s="61" t="s">
        <v>149</v>
      </c>
      <c r="N5" s="60" t="s">
        <v>150</v>
      </c>
      <c r="O5" s="60" t="s">
        <v>177</v>
      </c>
      <c r="P5" s="61" t="s">
        <v>151</v>
      </c>
      <c r="Q5" s="76" t="s">
        <v>152</v>
      </c>
      <c r="R5" s="61" t="s">
        <v>153</v>
      </c>
      <c r="S5" s="61" t="s">
        <v>178</v>
      </c>
      <c r="T5" s="61" t="s">
        <v>154</v>
      </c>
      <c r="U5" s="61" t="s">
        <v>155</v>
      </c>
      <c r="V5" s="60" t="s">
        <v>156</v>
      </c>
      <c r="W5" s="60" t="s">
        <v>157</v>
      </c>
      <c r="X5" s="60" t="s">
        <v>158</v>
      </c>
      <c r="Y5" s="61" t="s">
        <v>159</v>
      </c>
      <c r="Z5" s="61" t="s">
        <v>164</v>
      </c>
      <c r="AA5" s="61" t="s">
        <v>187</v>
      </c>
      <c r="AB5" s="61" t="s">
        <v>179</v>
      </c>
      <c r="AC5" s="61" t="s">
        <v>180</v>
      </c>
      <c r="AD5" s="61" t="s">
        <v>181</v>
      </c>
      <c r="AE5" s="61" t="s">
        <v>182</v>
      </c>
      <c r="AF5" s="61" t="s">
        <v>183</v>
      </c>
      <c r="AG5" s="61" t="s">
        <v>184</v>
      </c>
      <c r="AH5" s="61" t="s">
        <v>185</v>
      </c>
      <c r="AI5" s="61" t="s">
        <v>210</v>
      </c>
      <c r="AJ5" s="61" t="s">
        <v>186</v>
      </c>
      <c r="AK5" s="61" t="s">
        <v>188</v>
      </c>
    </row>
    <row r="6" spans="1:38" ht="115.8" customHeight="1" x14ac:dyDescent="0.25">
      <c r="A6" s="105" t="s">
        <v>0</v>
      </c>
      <c r="B6" s="63" t="s">
        <v>209</v>
      </c>
      <c r="C6" s="63" t="s">
        <v>14</v>
      </c>
      <c r="D6" s="63" t="s">
        <v>22</v>
      </c>
      <c r="E6" s="63" t="s">
        <v>28</v>
      </c>
      <c r="F6" s="63" t="s">
        <v>30</v>
      </c>
      <c r="G6" s="63" t="str">
        <f>IF(I6&gt;50%,"High",IF(I6&gt;10%,"Medium","Low"))</f>
        <v>Medium</v>
      </c>
      <c r="H6" s="63" t="str">
        <f>IF(K6&gt;50,"High",IF(K6&gt;10,"Medium","Low"))</f>
        <v>Low</v>
      </c>
      <c r="I6" s="77">
        <v>0.15</v>
      </c>
      <c r="J6" s="63">
        <v>40</v>
      </c>
      <c r="K6" s="63">
        <f t="shared" ref="K6:K22" si="0">I6*J6</f>
        <v>6</v>
      </c>
      <c r="L6" s="84">
        <f>I6*$L$4</f>
        <v>15</v>
      </c>
      <c r="M6" s="63" t="str">
        <f t="shared" ref="M6:M22" si="1">IF(K6&gt;90,"Extreme",IF(K6&gt;50.01,"Major",IF(K6&gt;10.01,"Moderate",IF(K6&gt;5.01,"Minor","Incidental"))))</f>
        <v>Minor</v>
      </c>
      <c r="N6" s="63" t="s">
        <v>36</v>
      </c>
      <c r="O6" s="63" t="s">
        <v>37</v>
      </c>
      <c r="P6" s="63" t="s">
        <v>38</v>
      </c>
      <c r="Q6" s="75">
        <v>7.0000000000000007E-2</v>
      </c>
      <c r="R6" s="63">
        <v>20</v>
      </c>
      <c r="S6" s="63">
        <f>Q6*R6</f>
        <v>1.4000000000000001</v>
      </c>
      <c r="T6" s="63">
        <f>$T$4*Q6</f>
        <v>7.0000000000000009</v>
      </c>
      <c r="U6" s="63" t="s">
        <v>39</v>
      </c>
      <c r="V6" s="63" t="s">
        <v>15</v>
      </c>
      <c r="W6" s="63" t="str">
        <f>IF(Y6&gt;50%,"High",IF(Y6&gt;10%,"Medium","Low"))</f>
        <v>Low</v>
      </c>
      <c r="X6" s="63" t="str">
        <f>IF(Z6&gt;50,"High",IF(Z6&gt;10,"Medium","Low"))</f>
        <v>Medium</v>
      </c>
      <c r="Y6" s="78">
        <f>I6-Q6</f>
        <v>7.9999999999999988E-2</v>
      </c>
      <c r="Z6" s="63">
        <f>J6-R6</f>
        <v>20</v>
      </c>
      <c r="AA6" s="64">
        <f>Y6*Z6</f>
        <v>1.5999999999999996</v>
      </c>
      <c r="AB6" s="64">
        <f>$AB$4*Y6</f>
        <v>7.9999999999999991</v>
      </c>
      <c r="AC6" s="64">
        <f>L6</f>
        <v>15</v>
      </c>
      <c r="AD6" s="64">
        <f>T6</f>
        <v>7.0000000000000009</v>
      </c>
      <c r="AE6" s="64">
        <f>AB6</f>
        <v>7.9999999999999991</v>
      </c>
      <c r="AF6" s="64">
        <v>4.5</v>
      </c>
      <c r="AG6" s="64">
        <v>0.5</v>
      </c>
      <c r="AH6" s="64">
        <f>AF6+AG6</f>
        <v>5</v>
      </c>
      <c r="AI6" s="64">
        <f>AD6-AH6</f>
        <v>2.0000000000000009</v>
      </c>
      <c r="AJ6" s="64">
        <f>AH6/AI6</f>
        <v>2.4999999999999991</v>
      </c>
      <c r="AK6" s="85" t="s">
        <v>189</v>
      </c>
    </row>
    <row r="7" spans="1:38" ht="72" x14ac:dyDescent="0.25">
      <c r="A7" s="106"/>
      <c r="B7" s="65" t="s">
        <v>118</v>
      </c>
      <c r="C7" s="63"/>
      <c r="D7" s="63"/>
      <c r="E7" s="63"/>
      <c r="F7" s="63"/>
      <c r="G7" s="113" t="s">
        <v>113</v>
      </c>
      <c r="H7" s="114"/>
      <c r="I7" s="77"/>
      <c r="J7" s="63"/>
      <c r="K7" s="63"/>
      <c r="L7" s="84"/>
      <c r="M7" s="63"/>
      <c r="N7" s="63"/>
      <c r="O7" s="63"/>
      <c r="P7" s="63"/>
      <c r="Q7" s="75"/>
      <c r="R7" s="63"/>
      <c r="S7" s="63"/>
      <c r="T7" s="63"/>
      <c r="U7" s="65" t="s">
        <v>211</v>
      </c>
      <c r="V7" s="63"/>
      <c r="W7" s="63"/>
      <c r="X7" s="63"/>
      <c r="Y7" s="78"/>
      <c r="Z7" s="63"/>
      <c r="AA7" s="64"/>
      <c r="AB7" s="64"/>
      <c r="AC7" s="64"/>
      <c r="AD7" s="64"/>
      <c r="AE7" s="64"/>
      <c r="AF7" s="64"/>
      <c r="AG7" s="64"/>
      <c r="AH7" s="64"/>
      <c r="AI7" s="64"/>
      <c r="AJ7" s="64"/>
      <c r="AK7" s="63"/>
    </row>
    <row r="8" spans="1:38" ht="64.95" customHeight="1" x14ac:dyDescent="0.25">
      <c r="A8" s="106"/>
      <c r="B8" s="79" t="s">
        <v>232</v>
      </c>
      <c r="C8" s="63" t="s">
        <v>15</v>
      </c>
      <c r="D8" s="63" t="s">
        <v>22</v>
      </c>
      <c r="E8" s="63" t="s">
        <v>28</v>
      </c>
      <c r="F8" s="63" t="s">
        <v>30</v>
      </c>
      <c r="G8" s="63" t="str">
        <f t="shared" ref="G8:G12" si="2">IF(I8&gt;50%,"High",IF(I8&gt;10%,"Medium","Low"))</f>
        <v>Low</v>
      </c>
      <c r="H8" s="63" t="str">
        <f t="shared" ref="H8:H22" si="3">IF(K8&gt;50,"High",IF(K8&gt;10,"Medium","Low"))</f>
        <v>Low</v>
      </c>
      <c r="I8" s="77">
        <v>7.0000000000000007E-2</v>
      </c>
      <c r="J8" s="63">
        <v>5</v>
      </c>
      <c r="K8" s="63">
        <f t="shared" si="0"/>
        <v>0.35000000000000003</v>
      </c>
      <c r="L8" s="84">
        <f>I8*$L$4</f>
        <v>7.0000000000000009</v>
      </c>
      <c r="M8" s="63" t="str">
        <f t="shared" si="1"/>
        <v>Incidental</v>
      </c>
      <c r="N8" s="63" t="s">
        <v>41</v>
      </c>
      <c r="O8" s="63" t="s">
        <v>37</v>
      </c>
      <c r="P8" s="63" t="s">
        <v>42</v>
      </c>
      <c r="Q8" s="75">
        <v>0.05</v>
      </c>
      <c r="R8" s="63">
        <v>3.5</v>
      </c>
      <c r="S8" s="63">
        <f t="shared" ref="S8:S22" si="4">Q8*R8</f>
        <v>0.17500000000000002</v>
      </c>
      <c r="T8" s="63">
        <f t="shared" ref="T8:T22" si="5">$T$4*Q8</f>
        <v>5</v>
      </c>
      <c r="U8" s="63" t="s">
        <v>43</v>
      </c>
      <c r="V8" s="63" t="s">
        <v>15</v>
      </c>
      <c r="W8" s="63" t="str">
        <f t="shared" ref="W8:W22" si="6">IF(Y8&gt;50%,"High",IF(Y8&gt;10%,"Medium","Low"))</f>
        <v>Low</v>
      </c>
      <c r="X8" s="63" t="str">
        <f t="shared" ref="X8:X22" si="7">IF(Z8&gt;50,"High",IF(Z8&gt;10,"Medium","Low"))</f>
        <v>Low</v>
      </c>
      <c r="Y8" s="78">
        <f t="shared" ref="Y8:Y20" si="8">I8-Q8</f>
        <v>2.0000000000000004E-2</v>
      </c>
      <c r="Z8" s="63">
        <f t="shared" ref="Z8:Z20" si="9">J8-R8</f>
        <v>1.5</v>
      </c>
      <c r="AA8" s="64">
        <f t="shared" ref="AA8:AA20" si="10">Y8*Z8</f>
        <v>3.0000000000000006E-2</v>
      </c>
      <c r="AB8" s="64">
        <f t="shared" ref="AB8:AB22" si="11">$AB$4*Y8</f>
        <v>2.0000000000000004</v>
      </c>
      <c r="AC8" s="64">
        <f t="shared" ref="AC8:AC22" si="12">L8</f>
        <v>7.0000000000000009</v>
      </c>
      <c r="AD8" s="64">
        <f t="shared" ref="AD8:AD22" si="13">T8</f>
        <v>5</v>
      </c>
      <c r="AE8" s="64">
        <f t="shared" ref="AE8:AE22" si="14">AB8</f>
        <v>2.0000000000000004</v>
      </c>
      <c r="AF8" s="64">
        <v>2</v>
      </c>
      <c r="AG8" s="64">
        <v>0</v>
      </c>
      <c r="AH8" s="64">
        <f t="shared" ref="AH8:AH22" si="15">AF8+AG8</f>
        <v>2</v>
      </c>
      <c r="AI8" s="64">
        <f>AD8-AH8</f>
        <v>3</v>
      </c>
      <c r="AJ8" s="64">
        <f>AH8/AI8</f>
        <v>0.66666666666666663</v>
      </c>
      <c r="AK8" s="85" t="s">
        <v>193</v>
      </c>
      <c r="AL8" s="58"/>
    </row>
    <row r="9" spans="1:38" ht="72" x14ac:dyDescent="0.25">
      <c r="A9" s="106"/>
      <c r="B9" s="65" t="s">
        <v>118</v>
      </c>
      <c r="C9" s="63"/>
      <c r="D9" s="63"/>
      <c r="E9" s="63"/>
      <c r="F9" s="63"/>
      <c r="G9" s="113" t="s">
        <v>115</v>
      </c>
      <c r="H9" s="114"/>
      <c r="I9" s="77"/>
      <c r="J9" s="63"/>
      <c r="K9" s="63"/>
      <c r="L9" s="84"/>
      <c r="M9" s="63"/>
      <c r="N9" s="63"/>
      <c r="O9" s="63"/>
      <c r="P9" s="63"/>
      <c r="Q9" s="75"/>
      <c r="R9" s="63"/>
      <c r="S9" s="63"/>
      <c r="T9" s="63"/>
      <c r="U9" s="65" t="s">
        <v>214</v>
      </c>
      <c r="V9" s="63"/>
      <c r="W9" s="63"/>
      <c r="X9" s="63"/>
      <c r="Y9" s="78"/>
      <c r="Z9" s="63"/>
      <c r="AA9" s="64"/>
      <c r="AB9" s="64"/>
      <c r="AC9" s="64"/>
      <c r="AD9" s="64"/>
      <c r="AE9" s="64"/>
      <c r="AF9" s="64"/>
      <c r="AG9" s="64"/>
      <c r="AH9" s="64"/>
      <c r="AI9" s="64"/>
      <c r="AJ9" s="64"/>
      <c r="AK9" s="63"/>
      <c r="AL9" s="58"/>
    </row>
    <row r="10" spans="1:38" ht="64.95" customHeight="1" x14ac:dyDescent="0.25">
      <c r="A10" s="107"/>
      <c r="B10" s="63" t="s">
        <v>212</v>
      </c>
      <c r="C10" s="63" t="s">
        <v>15</v>
      </c>
      <c r="D10" s="63" t="s">
        <v>21</v>
      </c>
      <c r="E10" s="63" t="s">
        <v>28</v>
      </c>
      <c r="F10" s="63" t="s">
        <v>30</v>
      </c>
      <c r="G10" s="63" t="str">
        <f t="shared" si="2"/>
        <v>Medium</v>
      </c>
      <c r="H10" s="63" t="str">
        <f t="shared" si="3"/>
        <v>Medium</v>
      </c>
      <c r="I10" s="77">
        <v>0.4</v>
      </c>
      <c r="J10" s="63">
        <v>85</v>
      </c>
      <c r="K10" s="63">
        <f t="shared" si="0"/>
        <v>34</v>
      </c>
      <c r="L10" s="84">
        <f>I10*$L$4</f>
        <v>40</v>
      </c>
      <c r="M10" s="63" t="str">
        <f t="shared" si="1"/>
        <v>Moderate</v>
      </c>
      <c r="N10" s="63" t="s">
        <v>190</v>
      </c>
      <c r="O10" s="63" t="s">
        <v>37</v>
      </c>
      <c r="P10" s="63" t="s">
        <v>38</v>
      </c>
      <c r="Q10" s="75">
        <v>0.23</v>
      </c>
      <c r="R10" s="63">
        <v>45</v>
      </c>
      <c r="S10" s="63">
        <f t="shared" si="4"/>
        <v>10.35</v>
      </c>
      <c r="T10" s="63">
        <f t="shared" si="5"/>
        <v>23</v>
      </c>
      <c r="U10" s="63" t="s">
        <v>64</v>
      </c>
      <c r="V10" s="63" t="s">
        <v>14</v>
      </c>
      <c r="W10" s="63" t="str">
        <f t="shared" si="6"/>
        <v>Medium</v>
      </c>
      <c r="X10" s="63" t="str">
        <f t="shared" si="7"/>
        <v>Medium</v>
      </c>
      <c r="Y10" s="78">
        <f t="shared" si="8"/>
        <v>0.17</v>
      </c>
      <c r="Z10" s="63">
        <f t="shared" si="9"/>
        <v>40</v>
      </c>
      <c r="AA10" s="64">
        <f t="shared" si="10"/>
        <v>6.8000000000000007</v>
      </c>
      <c r="AB10" s="64">
        <f t="shared" si="11"/>
        <v>17</v>
      </c>
      <c r="AC10" s="64">
        <f t="shared" si="12"/>
        <v>40</v>
      </c>
      <c r="AD10" s="64">
        <f t="shared" si="13"/>
        <v>23</v>
      </c>
      <c r="AE10" s="64">
        <f t="shared" si="14"/>
        <v>17</v>
      </c>
      <c r="AF10" s="64">
        <v>5</v>
      </c>
      <c r="AG10" s="64">
        <v>0</v>
      </c>
      <c r="AH10" s="64">
        <f t="shared" si="15"/>
        <v>5</v>
      </c>
      <c r="AI10" s="64">
        <f>AD10-AH10</f>
        <v>18</v>
      </c>
      <c r="AJ10" s="64">
        <f>AH10/AI10</f>
        <v>0.27777777777777779</v>
      </c>
      <c r="AK10" s="63" t="s">
        <v>191</v>
      </c>
    </row>
    <row r="11" spans="1:38" ht="86.4" x14ac:dyDescent="0.25">
      <c r="A11" s="80"/>
      <c r="B11" s="65" t="s">
        <v>118</v>
      </c>
      <c r="C11" s="63"/>
      <c r="D11" s="63"/>
      <c r="E11" s="63"/>
      <c r="F11" s="63"/>
      <c r="G11" s="113" t="s">
        <v>116</v>
      </c>
      <c r="H11" s="114"/>
      <c r="I11" s="77"/>
      <c r="J11" s="63"/>
      <c r="K11" s="63"/>
      <c r="L11" s="84"/>
      <c r="M11" s="63"/>
      <c r="N11" s="63"/>
      <c r="O11" s="63"/>
      <c r="P11" s="63"/>
      <c r="Q11" s="75"/>
      <c r="R11" s="63"/>
      <c r="S11" s="63"/>
      <c r="T11" s="63"/>
      <c r="U11" s="65" t="s">
        <v>215</v>
      </c>
      <c r="V11" s="63"/>
      <c r="W11" s="63"/>
      <c r="X11" s="63"/>
      <c r="Y11" s="78"/>
      <c r="Z11" s="63"/>
      <c r="AA11" s="64"/>
      <c r="AB11" s="64"/>
      <c r="AC11" s="64"/>
      <c r="AD11" s="64"/>
      <c r="AE11" s="64"/>
      <c r="AF11" s="64"/>
      <c r="AG11" s="64"/>
      <c r="AH11" s="64"/>
      <c r="AI11" s="64"/>
      <c r="AJ11" s="64"/>
      <c r="AK11" s="63"/>
    </row>
    <row r="12" spans="1:38" ht="64.95" customHeight="1" x14ac:dyDescent="0.25">
      <c r="A12" s="105" t="s">
        <v>1</v>
      </c>
      <c r="B12" s="63" t="s">
        <v>204</v>
      </c>
      <c r="C12" s="63" t="s">
        <v>13</v>
      </c>
      <c r="D12" s="63" t="s">
        <v>21</v>
      </c>
      <c r="E12" s="63" t="s">
        <v>28</v>
      </c>
      <c r="F12" s="63" t="s">
        <v>30</v>
      </c>
      <c r="G12" s="63" t="str">
        <f t="shared" si="2"/>
        <v>High</v>
      </c>
      <c r="H12" s="63" t="str">
        <f t="shared" si="3"/>
        <v>Medium</v>
      </c>
      <c r="I12" s="77">
        <v>0.6</v>
      </c>
      <c r="J12" s="63">
        <v>30</v>
      </c>
      <c r="K12" s="63">
        <f t="shared" si="0"/>
        <v>18</v>
      </c>
      <c r="L12" s="84">
        <f>I12*$L$4</f>
        <v>60</v>
      </c>
      <c r="M12" s="63" t="str">
        <f t="shared" si="1"/>
        <v>Moderate</v>
      </c>
      <c r="N12" s="63" t="s">
        <v>46</v>
      </c>
      <c r="O12" s="63" t="s">
        <v>37</v>
      </c>
      <c r="P12" s="63" t="s">
        <v>38</v>
      </c>
      <c r="Q12" s="75">
        <v>0.42</v>
      </c>
      <c r="R12" s="63">
        <v>11</v>
      </c>
      <c r="S12" s="63">
        <f t="shared" si="4"/>
        <v>4.62</v>
      </c>
      <c r="T12" s="63">
        <f t="shared" si="5"/>
        <v>42</v>
      </c>
      <c r="U12" s="63" t="s">
        <v>47</v>
      </c>
      <c r="V12" s="63" t="s">
        <v>14</v>
      </c>
      <c r="W12" s="63" t="str">
        <f t="shared" si="6"/>
        <v>Medium</v>
      </c>
      <c r="X12" s="63" t="str">
        <f t="shared" si="7"/>
        <v>Medium</v>
      </c>
      <c r="Y12" s="78">
        <f t="shared" si="8"/>
        <v>0.18</v>
      </c>
      <c r="Z12" s="63">
        <f t="shared" si="9"/>
        <v>19</v>
      </c>
      <c r="AA12" s="64">
        <f t="shared" si="10"/>
        <v>3.42</v>
      </c>
      <c r="AB12" s="64">
        <f t="shared" si="11"/>
        <v>18</v>
      </c>
      <c r="AC12" s="64">
        <f t="shared" si="12"/>
        <v>60</v>
      </c>
      <c r="AD12" s="64">
        <f t="shared" si="13"/>
        <v>42</v>
      </c>
      <c r="AE12" s="64">
        <f t="shared" si="14"/>
        <v>18</v>
      </c>
      <c r="AF12" s="64">
        <v>11</v>
      </c>
      <c r="AG12" s="64">
        <v>0</v>
      </c>
      <c r="AH12" s="64">
        <f t="shared" si="15"/>
        <v>11</v>
      </c>
      <c r="AI12" s="64">
        <f>AD12-AH12</f>
        <v>31</v>
      </c>
      <c r="AJ12" s="64">
        <f>AH12/AI12</f>
        <v>0.35483870967741937</v>
      </c>
      <c r="AK12" s="63" t="s">
        <v>192</v>
      </c>
    </row>
    <row r="13" spans="1:38" ht="43.2" x14ac:dyDescent="0.25">
      <c r="A13" s="106"/>
      <c r="B13" s="65" t="s">
        <v>118</v>
      </c>
      <c r="C13" s="63"/>
      <c r="D13" s="63"/>
      <c r="E13" s="63"/>
      <c r="F13" s="63"/>
      <c r="G13" s="113" t="s">
        <v>121</v>
      </c>
      <c r="H13" s="114"/>
      <c r="I13" s="77"/>
      <c r="J13" s="63"/>
      <c r="K13" s="63"/>
      <c r="L13" s="84"/>
      <c r="M13" s="63"/>
      <c r="N13" s="63"/>
      <c r="O13" s="63"/>
      <c r="P13" s="63"/>
      <c r="Q13" s="75"/>
      <c r="R13" s="63"/>
      <c r="S13" s="63"/>
      <c r="T13" s="63"/>
      <c r="U13" s="65" t="s">
        <v>216</v>
      </c>
      <c r="V13" s="63"/>
      <c r="W13" s="63"/>
      <c r="X13" s="63"/>
      <c r="Y13" s="78"/>
      <c r="Z13" s="63"/>
      <c r="AA13" s="64"/>
      <c r="AB13" s="64"/>
      <c r="AC13" s="64"/>
      <c r="AD13" s="64"/>
      <c r="AE13" s="64"/>
      <c r="AF13" s="64"/>
      <c r="AG13" s="64"/>
      <c r="AH13" s="64"/>
      <c r="AI13" s="64"/>
      <c r="AJ13" s="64"/>
      <c r="AK13" s="63"/>
    </row>
    <row r="14" spans="1:38" ht="64.95" customHeight="1" x14ac:dyDescent="0.25">
      <c r="A14" s="106"/>
      <c r="B14" s="63" t="s">
        <v>203</v>
      </c>
      <c r="C14" s="63" t="s">
        <v>14</v>
      </c>
      <c r="D14" s="63" t="s">
        <v>21</v>
      </c>
      <c r="E14" s="63" t="s">
        <v>28</v>
      </c>
      <c r="F14" s="63" t="s">
        <v>30</v>
      </c>
      <c r="G14" s="63" t="str">
        <f t="shared" ref="G14:G22" si="16">IF(I14&gt;50%,"High",IF(I14&gt;10%,"Medium","Low"))</f>
        <v>Medium</v>
      </c>
      <c r="H14" s="63" t="str">
        <f t="shared" si="3"/>
        <v>Low</v>
      </c>
      <c r="I14" s="77">
        <v>0.3</v>
      </c>
      <c r="J14" s="63">
        <v>18</v>
      </c>
      <c r="K14" s="63">
        <f t="shared" si="0"/>
        <v>5.3999999999999995</v>
      </c>
      <c r="L14" s="84">
        <f>I14*$L$4</f>
        <v>30</v>
      </c>
      <c r="M14" s="63" t="str">
        <f t="shared" si="1"/>
        <v>Minor</v>
      </c>
      <c r="N14" s="63" t="s">
        <v>61</v>
      </c>
      <c r="O14" s="63" t="s">
        <v>37</v>
      </c>
      <c r="P14" s="63" t="s">
        <v>42</v>
      </c>
      <c r="Q14" s="75">
        <v>0.22</v>
      </c>
      <c r="R14" s="63">
        <v>6</v>
      </c>
      <c r="S14" s="63">
        <f t="shared" si="4"/>
        <v>1.32</v>
      </c>
      <c r="T14" s="63">
        <f t="shared" si="5"/>
        <v>22</v>
      </c>
      <c r="U14" s="63" t="s">
        <v>48</v>
      </c>
      <c r="V14" s="63" t="s">
        <v>15</v>
      </c>
      <c r="W14" s="63" t="str">
        <f t="shared" si="6"/>
        <v>Low</v>
      </c>
      <c r="X14" s="63" t="str">
        <f t="shared" si="7"/>
        <v>Medium</v>
      </c>
      <c r="Y14" s="78">
        <f t="shared" si="8"/>
        <v>7.9999999999999988E-2</v>
      </c>
      <c r="Z14" s="63">
        <f t="shared" si="9"/>
        <v>12</v>
      </c>
      <c r="AA14" s="64">
        <f t="shared" si="10"/>
        <v>0.95999999999999985</v>
      </c>
      <c r="AB14" s="64">
        <f t="shared" si="11"/>
        <v>7.9999999999999991</v>
      </c>
      <c r="AC14" s="64">
        <f t="shared" si="12"/>
        <v>30</v>
      </c>
      <c r="AD14" s="64">
        <f t="shared" si="13"/>
        <v>22</v>
      </c>
      <c r="AE14" s="64">
        <f t="shared" si="14"/>
        <v>7.9999999999999991</v>
      </c>
      <c r="AF14" s="64">
        <v>7</v>
      </c>
      <c r="AG14" s="64">
        <v>0</v>
      </c>
      <c r="AH14" s="64">
        <f t="shared" si="15"/>
        <v>7</v>
      </c>
      <c r="AI14" s="64">
        <f>AD14-AH14</f>
        <v>15</v>
      </c>
      <c r="AJ14" s="64">
        <f>AH14/AI14</f>
        <v>0.46666666666666667</v>
      </c>
      <c r="AK14" s="63" t="s">
        <v>194</v>
      </c>
    </row>
    <row r="15" spans="1:38" ht="57.6" x14ac:dyDescent="0.25">
      <c r="A15" s="106"/>
      <c r="B15" s="65" t="s">
        <v>118</v>
      </c>
      <c r="C15" s="63"/>
      <c r="D15" s="63"/>
      <c r="E15" s="63"/>
      <c r="F15" s="63"/>
      <c r="G15" s="113" t="s">
        <v>123</v>
      </c>
      <c r="H15" s="114"/>
      <c r="I15" s="77"/>
      <c r="J15" s="63"/>
      <c r="K15" s="63"/>
      <c r="L15" s="84"/>
      <c r="M15" s="63"/>
      <c r="N15" s="63"/>
      <c r="O15" s="63"/>
      <c r="P15" s="63"/>
      <c r="Q15" s="75"/>
      <c r="R15" s="63"/>
      <c r="S15" s="63"/>
      <c r="T15" s="63"/>
      <c r="U15" s="65" t="s">
        <v>217</v>
      </c>
      <c r="V15" s="63"/>
      <c r="W15" s="63"/>
      <c r="X15" s="63"/>
      <c r="Y15" s="78"/>
      <c r="Z15" s="63"/>
      <c r="AA15" s="64"/>
      <c r="AB15" s="64"/>
      <c r="AC15" s="64"/>
      <c r="AD15" s="64"/>
      <c r="AE15" s="64"/>
      <c r="AF15" s="64"/>
      <c r="AG15" s="64"/>
      <c r="AH15" s="64"/>
      <c r="AI15" s="64"/>
      <c r="AJ15" s="64"/>
      <c r="AK15" s="63"/>
    </row>
    <row r="16" spans="1:38" ht="64.95" customHeight="1" x14ac:dyDescent="0.25">
      <c r="A16" s="107"/>
      <c r="B16" s="63" t="s">
        <v>205</v>
      </c>
      <c r="C16" s="63" t="s">
        <v>15</v>
      </c>
      <c r="D16" s="63" t="s">
        <v>22</v>
      </c>
      <c r="E16" s="63" t="s">
        <v>28</v>
      </c>
      <c r="F16" s="63" t="s">
        <v>30</v>
      </c>
      <c r="G16" s="63" t="str">
        <f t="shared" si="16"/>
        <v>High</v>
      </c>
      <c r="H16" s="63" t="str">
        <f t="shared" si="3"/>
        <v>Medium</v>
      </c>
      <c r="I16" s="77">
        <v>0.7</v>
      </c>
      <c r="J16" s="63">
        <v>40</v>
      </c>
      <c r="K16" s="63">
        <f t="shared" si="0"/>
        <v>28</v>
      </c>
      <c r="L16" s="84">
        <f>I16*$L$4</f>
        <v>70</v>
      </c>
      <c r="M16" s="63" t="str">
        <f t="shared" si="1"/>
        <v>Moderate</v>
      </c>
      <c r="N16" s="63" t="s">
        <v>168</v>
      </c>
      <c r="O16" s="63" t="s">
        <v>37</v>
      </c>
      <c r="P16" s="63" t="s">
        <v>42</v>
      </c>
      <c r="Q16" s="75">
        <v>0.56999999999999995</v>
      </c>
      <c r="R16" s="63">
        <v>15</v>
      </c>
      <c r="S16" s="63">
        <f t="shared" si="4"/>
        <v>8.5499999999999989</v>
      </c>
      <c r="T16" s="63">
        <f t="shared" si="5"/>
        <v>56.999999999999993</v>
      </c>
      <c r="U16" s="63" t="s">
        <v>105</v>
      </c>
      <c r="V16" s="63" t="s">
        <v>15</v>
      </c>
      <c r="W16" s="63" t="str">
        <f t="shared" si="6"/>
        <v>Medium</v>
      </c>
      <c r="X16" s="63" t="str">
        <f t="shared" si="7"/>
        <v>Medium</v>
      </c>
      <c r="Y16" s="78">
        <f t="shared" si="8"/>
        <v>0.13</v>
      </c>
      <c r="Z16" s="63">
        <f t="shared" si="9"/>
        <v>25</v>
      </c>
      <c r="AA16" s="64">
        <f t="shared" si="10"/>
        <v>3.25</v>
      </c>
      <c r="AB16" s="64">
        <f t="shared" si="11"/>
        <v>13</v>
      </c>
      <c r="AC16" s="64">
        <f t="shared" si="12"/>
        <v>70</v>
      </c>
      <c r="AD16" s="64">
        <f t="shared" si="13"/>
        <v>56.999999999999993</v>
      </c>
      <c r="AE16" s="64">
        <f t="shared" si="14"/>
        <v>13</v>
      </c>
      <c r="AF16" s="64">
        <v>11</v>
      </c>
      <c r="AG16" s="64">
        <v>0</v>
      </c>
      <c r="AH16" s="64">
        <f t="shared" si="15"/>
        <v>11</v>
      </c>
      <c r="AI16" s="64">
        <f>AD16-AH16</f>
        <v>45.999999999999993</v>
      </c>
      <c r="AJ16" s="64">
        <f>AH16/AI16</f>
        <v>0.23913043478260873</v>
      </c>
      <c r="AK16" s="63" t="s">
        <v>195</v>
      </c>
    </row>
    <row r="17" spans="1:37" ht="72" x14ac:dyDescent="0.25">
      <c r="A17" s="80"/>
      <c r="B17" s="65" t="s">
        <v>118</v>
      </c>
      <c r="C17" s="63"/>
      <c r="D17" s="63"/>
      <c r="E17" s="63"/>
      <c r="F17" s="63"/>
      <c r="G17" s="113" t="s">
        <v>124</v>
      </c>
      <c r="H17" s="114"/>
      <c r="I17" s="77"/>
      <c r="J17" s="63"/>
      <c r="K17" s="63"/>
      <c r="L17" s="84"/>
      <c r="M17" s="63"/>
      <c r="N17" s="63"/>
      <c r="O17" s="63"/>
      <c r="P17" s="63"/>
      <c r="Q17" s="75"/>
      <c r="R17" s="63"/>
      <c r="S17" s="63"/>
      <c r="T17" s="63"/>
      <c r="U17" s="65" t="s">
        <v>218</v>
      </c>
      <c r="V17" s="63"/>
      <c r="W17" s="63"/>
      <c r="X17" s="63"/>
      <c r="Y17" s="78"/>
      <c r="Z17" s="63"/>
      <c r="AA17" s="64"/>
      <c r="AB17" s="64"/>
      <c r="AC17" s="64"/>
      <c r="AD17" s="64"/>
      <c r="AE17" s="64"/>
      <c r="AF17" s="64"/>
      <c r="AG17" s="64"/>
      <c r="AH17" s="64"/>
      <c r="AI17" s="64"/>
      <c r="AJ17" s="64"/>
      <c r="AK17" s="63"/>
    </row>
    <row r="18" spans="1:37" ht="64.95" customHeight="1" x14ac:dyDescent="0.25">
      <c r="A18" s="105" t="s">
        <v>2</v>
      </c>
      <c r="B18" s="63" t="s">
        <v>206</v>
      </c>
      <c r="C18" s="63" t="s">
        <v>13</v>
      </c>
      <c r="D18" s="63" t="s">
        <v>21</v>
      </c>
      <c r="E18" s="63" t="s">
        <v>28</v>
      </c>
      <c r="F18" s="63" t="s">
        <v>30</v>
      </c>
      <c r="G18" s="63" t="str">
        <f t="shared" si="16"/>
        <v>Low</v>
      </c>
      <c r="H18" s="63" t="str">
        <f t="shared" si="3"/>
        <v>Low</v>
      </c>
      <c r="I18" s="77">
        <v>0.05</v>
      </c>
      <c r="J18" s="63">
        <v>75</v>
      </c>
      <c r="K18" s="63">
        <f t="shared" si="0"/>
        <v>3.75</v>
      </c>
      <c r="L18" s="84">
        <f>I18*$L$4</f>
        <v>5</v>
      </c>
      <c r="M18" s="63" t="str">
        <f t="shared" si="1"/>
        <v>Incidental</v>
      </c>
      <c r="N18" s="63" t="s">
        <v>51</v>
      </c>
      <c r="O18" s="63" t="s">
        <v>52</v>
      </c>
      <c r="P18" s="63" t="s">
        <v>38</v>
      </c>
      <c r="Q18" s="75">
        <v>3.7999999999999999E-2</v>
      </c>
      <c r="R18" s="63">
        <v>28</v>
      </c>
      <c r="S18" s="63">
        <f t="shared" si="4"/>
        <v>1.0640000000000001</v>
      </c>
      <c r="T18" s="63">
        <f t="shared" si="5"/>
        <v>3.8</v>
      </c>
      <c r="U18" s="63" t="s">
        <v>172</v>
      </c>
      <c r="V18" s="63" t="s">
        <v>14</v>
      </c>
      <c r="W18" s="63" t="str">
        <f t="shared" si="6"/>
        <v>Low</v>
      </c>
      <c r="X18" s="63" t="str">
        <f t="shared" si="7"/>
        <v>Medium</v>
      </c>
      <c r="Y18" s="78">
        <f t="shared" si="8"/>
        <v>1.2000000000000004E-2</v>
      </c>
      <c r="Z18" s="63">
        <f t="shared" si="9"/>
        <v>47</v>
      </c>
      <c r="AA18" s="64">
        <f t="shared" si="10"/>
        <v>0.56400000000000017</v>
      </c>
      <c r="AB18" s="64">
        <f t="shared" si="11"/>
        <v>1.2000000000000004</v>
      </c>
      <c r="AC18" s="64">
        <f t="shared" si="12"/>
        <v>5</v>
      </c>
      <c r="AD18" s="64">
        <f t="shared" si="13"/>
        <v>3.8</v>
      </c>
      <c r="AE18" s="64">
        <f t="shared" si="14"/>
        <v>1.2000000000000004</v>
      </c>
      <c r="AF18" s="64">
        <v>5</v>
      </c>
      <c r="AG18" s="64">
        <v>0</v>
      </c>
      <c r="AH18" s="64">
        <f t="shared" si="15"/>
        <v>5</v>
      </c>
      <c r="AI18" s="64">
        <f>AD18-AH18</f>
        <v>-1.2000000000000002</v>
      </c>
      <c r="AJ18" s="64" t="s">
        <v>173</v>
      </c>
      <c r="AK18" s="63" t="s">
        <v>196</v>
      </c>
    </row>
    <row r="19" spans="1:37" ht="72" x14ac:dyDescent="0.25">
      <c r="A19" s="106"/>
      <c r="B19" s="65" t="s">
        <v>118</v>
      </c>
      <c r="C19" s="63"/>
      <c r="D19" s="63"/>
      <c r="E19" s="63"/>
      <c r="F19" s="63"/>
      <c r="G19" s="113" t="s">
        <v>125</v>
      </c>
      <c r="H19" s="114"/>
      <c r="I19" s="77"/>
      <c r="J19" s="63"/>
      <c r="K19" s="63"/>
      <c r="L19" s="84"/>
      <c r="M19" s="63"/>
      <c r="N19" s="63"/>
      <c r="O19" s="63"/>
      <c r="P19" s="63"/>
      <c r="Q19" s="75"/>
      <c r="R19" s="63"/>
      <c r="S19" s="63"/>
      <c r="T19" s="63"/>
      <c r="U19" s="65" t="s">
        <v>219</v>
      </c>
      <c r="V19" s="63"/>
      <c r="W19" s="63"/>
      <c r="X19" s="63"/>
      <c r="Y19" s="78"/>
      <c r="Z19" s="63"/>
      <c r="AA19" s="64"/>
      <c r="AB19" s="64"/>
      <c r="AC19" s="64"/>
      <c r="AD19" s="64"/>
      <c r="AE19" s="64"/>
      <c r="AF19" s="64"/>
      <c r="AG19" s="64"/>
      <c r="AH19" s="64"/>
      <c r="AI19" s="64"/>
      <c r="AJ19" s="64"/>
      <c r="AK19" s="63"/>
    </row>
    <row r="20" spans="1:37" ht="64.95" customHeight="1" x14ac:dyDescent="0.25">
      <c r="A20" s="106"/>
      <c r="B20" s="63" t="s">
        <v>207</v>
      </c>
      <c r="C20" s="63" t="s">
        <v>15</v>
      </c>
      <c r="D20" s="63" t="s">
        <v>21</v>
      </c>
      <c r="E20" s="63" t="s">
        <v>29</v>
      </c>
      <c r="F20" s="63" t="s">
        <v>31</v>
      </c>
      <c r="G20" s="63" t="str">
        <f t="shared" si="16"/>
        <v>Medium</v>
      </c>
      <c r="H20" s="63" t="str">
        <f t="shared" si="3"/>
        <v>Low</v>
      </c>
      <c r="I20" s="77">
        <v>0.3</v>
      </c>
      <c r="J20" s="63">
        <v>20</v>
      </c>
      <c r="K20" s="63">
        <f t="shared" si="0"/>
        <v>6</v>
      </c>
      <c r="L20" s="84">
        <f>I20*$L$4</f>
        <v>30</v>
      </c>
      <c r="M20" s="63" t="str">
        <f t="shared" si="1"/>
        <v>Minor</v>
      </c>
      <c r="N20" s="63" t="s">
        <v>169</v>
      </c>
      <c r="O20" s="63" t="s">
        <v>37</v>
      </c>
      <c r="P20" s="63" t="s">
        <v>38</v>
      </c>
      <c r="Q20" s="75">
        <v>0.2</v>
      </c>
      <c r="R20" s="63">
        <v>12</v>
      </c>
      <c r="S20" s="63">
        <f t="shared" si="4"/>
        <v>2.4000000000000004</v>
      </c>
      <c r="T20" s="63">
        <f t="shared" si="5"/>
        <v>20</v>
      </c>
      <c r="U20" s="63" t="s">
        <v>54</v>
      </c>
      <c r="V20" s="63" t="s">
        <v>15</v>
      </c>
      <c r="W20" s="63" t="str">
        <f t="shared" si="6"/>
        <v>Low</v>
      </c>
      <c r="X20" s="63" t="str">
        <f t="shared" si="7"/>
        <v>Low</v>
      </c>
      <c r="Y20" s="78">
        <f t="shared" si="8"/>
        <v>9.9999999999999978E-2</v>
      </c>
      <c r="Z20" s="63">
        <f t="shared" si="9"/>
        <v>8</v>
      </c>
      <c r="AA20" s="64">
        <f t="shared" si="10"/>
        <v>0.79999999999999982</v>
      </c>
      <c r="AB20" s="64">
        <f t="shared" si="11"/>
        <v>9.9999999999999982</v>
      </c>
      <c r="AC20" s="64">
        <f t="shared" si="12"/>
        <v>30</v>
      </c>
      <c r="AD20" s="64">
        <f t="shared" si="13"/>
        <v>20</v>
      </c>
      <c r="AE20" s="64">
        <f t="shared" si="14"/>
        <v>9.9999999999999982</v>
      </c>
      <c r="AF20" s="64">
        <v>3</v>
      </c>
      <c r="AG20" s="64">
        <v>0</v>
      </c>
      <c r="AH20" s="64">
        <f t="shared" si="15"/>
        <v>3</v>
      </c>
      <c r="AI20" s="64">
        <f>AD20-AH20</f>
        <v>17</v>
      </c>
      <c r="AJ20" s="64">
        <f>AH20/AI20</f>
        <v>0.17647058823529413</v>
      </c>
      <c r="AK20" s="63" t="s">
        <v>197</v>
      </c>
    </row>
    <row r="21" spans="1:37" ht="86.4" x14ac:dyDescent="0.25">
      <c r="A21" s="106"/>
      <c r="B21" s="65" t="s">
        <v>118</v>
      </c>
      <c r="C21" s="63"/>
      <c r="D21" s="63"/>
      <c r="E21" s="63"/>
      <c r="F21" s="63"/>
      <c r="G21" s="113" t="s">
        <v>126</v>
      </c>
      <c r="H21" s="114"/>
      <c r="I21" s="77"/>
      <c r="J21" s="63"/>
      <c r="K21" s="63"/>
      <c r="L21" s="64"/>
      <c r="M21" s="63"/>
      <c r="N21" s="63"/>
      <c r="O21" s="63"/>
      <c r="P21" s="63"/>
      <c r="Q21" s="75"/>
      <c r="R21" s="63"/>
      <c r="S21" s="63"/>
      <c r="T21" s="63"/>
      <c r="U21" s="65" t="s">
        <v>220</v>
      </c>
      <c r="V21" s="63"/>
      <c r="W21" s="63"/>
      <c r="X21" s="63"/>
      <c r="Y21" s="63"/>
      <c r="Z21" s="63"/>
      <c r="AA21" s="64"/>
      <c r="AB21" s="64"/>
      <c r="AC21" s="64"/>
      <c r="AD21" s="64"/>
      <c r="AE21" s="64"/>
      <c r="AF21" s="64"/>
      <c r="AG21" s="64"/>
      <c r="AH21" s="64"/>
      <c r="AI21" s="64"/>
      <c r="AJ21" s="64"/>
      <c r="AK21" s="63"/>
    </row>
    <row r="22" spans="1:37" ht="64.95" customHeight="1" x14ac:dyDescent="0.25">
      <c r="A22" s="107"/>
      <c r="B22" s="63" t="s">
        <v>208</v>
      </c>
      <c r="C22" s="63" t="s">
        <v>13</v>
      </c>
      <c r="D22" s="63" t="s">
        <v>21</v>
      </c>
      <c r="E22" s="63" t="s">
        <v>28</v>
      </c>
      <c r="F22" s="63" t="s">
        <v>30</v>
      </c>
      <c r="G22" s="63" t="str">
        <f t="shared" si="16"/>
        <v>High</v>
      </c>
      <c r="H22" s="63" t="str">
        <f t="shared" si="3"/>
        <v>High</v>
      </c>
      <c r="I22" s="77">
        <v>0.75</v>
      </c>
      <c r="J22" s="63">
        <v>70</v>
      </c>
      <c r="K22" s="63">
        <f t="shared" si="0"/>
        <v>52.5</v>
      </c>
      <c r="L22" s="64">
        <f>I22*$L$4</f>
        <v>75</v>
      </c>
      <c r="M22" s="63" t="str">
        <f t="shared" si="1"/>
        <v>Major</v>
      </c>
      <c r="N22" s="63" t="s">
        <v>68</v>
      </c>
      <c r="O22" s="63" t="s">
        <v>37</v>
      </c>
      <c r="P22" s="63" t="s">
        <v>38</v>
      </c>
      <c r="Q22" s="75">
        <v>0.44</v>
      </c>
      <c r="R22" s="63">
        <v>28</v>
      </c>
      <c r="S22" s="63">
        <f t="shared" si="4"/>
        <v>12.32</v>
      </c>
      <c r="T22" s="63">
        <f t="shared" si="5"/>
        <v>44</v>
      </c>
      <c r="U22" s="63" t="s">
        <v>69</v>
      </c>
      <c r="V22" s="63" t="s">
        <v>14</v>
      </c>
      <c r="W22" s="63" t="str">
        <f t="shared" si="6"/>
        <v>Medium</v>
      </c>
      <c r="X22" s="63" t="str">
        <f t="shared" si="7"/>
        <v>High</v>
      </c>
      <c r="Y22" s="78">
        <f>I22-Q22</f>
        <v>0.31</v>
      </c>
      <c r="Z22" s="63">
        <f>J22</f>
        <v>70</v>
      </c>
      <c r="AA22" s="64">
        <f t="shared" ref="AA22" si="17">Y22*Z22</f>
        <v>21.7</v>
      </c>
      <c r="AB22" s="64">
        <f t="shared" si="11"/>
        <v>31</v>
      </c>
      <c r="AC22" s="64">
        <f t="shared" si="12"/>
        <v>75</v>
      </c>
      <c r="AD22" s="64">
        <f t="shared" si="13"/>
        <v>44</v>
      </c>
      <c r="AE22" s="64">
        <f t="shared" si="14"/>
        <v>31</v>
      </c>
      <c r="AF22" s="64">
        <v>21</v>
      </c>
      <c r="AG22" s="64">
        <v>0</v>
      </c>
      <c r="AH22" s="64">
        <f t="shared" si="15"/>
        <v>21</v>
      </c>
      <c r="AI22" s="64">
        <f>AD22-AH22</f>
        <v>23</v>
      </c>
      <c r="AJ22" s="64">
        <f>AH22/AI22</f>
        <v>0.91304347826086951</v>
      </c>
      <c r="AK22" s="63" t="s">
        <v>198</v>
      </c>
    </row>
    <row r="23" spans="1:37" ht="76.8" x14ac:dyDescent="0.25">
      <c r="A23" s="81"/>
      <c r="B23" s="65" t="s">
        <v>118</v>
      </c>
      <c r="C23" s="63"/>
      <c r="D23" s="63"/>
      <c r="E23" s="63"/>
      <c r="F23" s="63"/>
      <c r="G23" s="113" t="s">
        <v>127</v>
      </c>
      <c r="H23" s="114"/>
      <c r="I23" s="77"/>
      <c r="J23" s="63"/>
      <c r="K23" s="63"/>
      <c r="L23" s="64"/>
      <c r="M23" s="63"/>
      <c r="N23" s="63"/>
      <c r="O23" s="63"/>
      <c r="P23" s="63"/>
      <c r="Q23" s="63"/>
      <c r="R23" s="63"/>
      <c r="S23" s="63"/>
      <c r="T23" s="63"/>
      <c r="U23" s="65" t="s">
        <v>221</v>
      </c>
      <c r="V23" s="63"/>
      <c r="W23" s="63"/>
      <c r="X23" s="63"/>
      <c r="Y23" s="63"/>
      <c r="Z23" s="63"/>
      <c r="AA23" s="64"/>
      <c r="AB23" s="64"/>
      <c r="AC23" s="64"/>
      <c r="AD23" s="64"/>
      <c r="AE23" s="64"/>
      <c r="AF23" s="64"/>
      <c r="AG23" s="64"/>
      <c r="AH23" s="64"/>
      <c r="AI23" s="64"/>
      <c r="AJ23" s="64"/>
      <c r="AK23" s="63"/>
    </row>
    <row r="24" spans="1:37" ht="64.95" customHeight="1" x14ac:dyDescent="0.25">
      <c r="A24" s="116" t="s">
        <v>112</v>
      </c>
      <c r="B24" s="117"/>
      <c r="C24" s="66"/>
      <c r="D24" s="66"/>
      <c r="E24" s="66"/>
      <c r="F24" s="66"/>
      <c r="G24" s="66"/>
      <c r="H24" s="66"/>
      <c r="I24" s="67"/>
      <c r="J24" s="68"/>
      <c r="K24" s="66"/>
      <c r="L24" s="69"/>
      <c r="M24" s="66"/>
      <c r="N24" s="66"/>
      <c r="O24" s="66"/>
      <c r="P24" s="66"/>
      <c r="Q24" s="66"/>
      <c r="R24" s="66"/>
      <c r="S24" s="66"/>
      <c r="T24" s="66">
        <f>SUM(T6:T23)</f>
        <v>223.8</v>
      </c>
      <c r="U24" s="66"/>
      <c r="V24" s="66"/>
      <c r="W24" s="66"/>
      <c r="X24" s="66"/>
      <c r="Y24" s="67"/>
      <c r="Z24" s="70"/>
      <c r="AA24" s="69"/>
      <c r="AB24" s="69"/>
      <c r="AC24" s="69"/>
      <c r="AD24" s="69"/>
      <c r="AE24" s="69"/>
      <c r="AF24" s="69"/>
      <c r="AG24" s="69"/>
      <c r="AH24" s="69"/>
      <c r="AI24" s="69"/>
      <c r="AJ24" s="69"/>
      <c r="AK24" s="66"/>
    </row>
  </sheetData>
  <mergeCells count="23">
    <mergeCell ref="G17:H17"/>
    <mergeCell ref="G15:H15"/>
    <mergeCell ref="G11:H11"/>
    <mergeCell ref="G13:H13"/>
    <mergeCell ref="U2:AB2"/>
    <mergeCell ref="A24:B24"/>
    <mergeCell ref="A18:A22"/>
    <mergeCell ref="G23:H23"/>
    <mergeCell ref="G21:H21"/>
    <mergeCell ref="G19:H19"/>
    <mergeCell ref="A1:AK1"/>
    <mergeCell ref="A6:A10"/>
    <mergeCell ref="A12:A16"/>
    <mergeCell ref="B2:M2"/>
    <mergeCell ref="G3:H3"/>
    <mergeCell ref="W3:X3"/>
    <mergeCell ref="G7:H7"/>
    <mergeCell ref="G9:H9"/>
    <mergeCell ref="I3:J3"/>
    <mergeCell ref="Y3:Z3"/>
    <mergeCell ref="N2:T2"/>
    <mergeCell ref="AF3:AH3"/>
    <mergeCell ref="AC2:AI2"/>
  </mergeCells>
  <conditionalFormatting sqref="C6:F23">
    <cfRule type="cellIs" dxfId="34" priority="43" operator="equal">
      <formula>"High"</formula>
    </cfRule>
    <cfRule type="cellIs" dxfId="33" priority="44" operator="equal">
      <formula>"Medium"</formula>
    </cfRule>
    <cfRule type="cellIs" dxfId="32" priority="45" operator="equal">
      <formula>"Low"</formula>
    </cfRule>
  </conditionalFormatting>
  <conditionalFormatting sqref="V6:V23">
    <cfRule type="cellIs" dxfId="31" priority="40" operator="equal">
      <formula>"High"</formula>
    </cfRule>
    <cfRule type="cellIs" dxfId="30" priority="41" operator="equal">
      <formula>"Medium"</formula>
    </cfRule>
    <cfRule type="cellIs" dxfId="29" priority="42" operator="equal">
      <formula>"Low"</formula>
    </cfRule>
  </conditionalFormatting>
  <conditionalFormatting sqref="Y21">
    <cfRule type="cellIs" dxfId="28" priority="9" operator="equal">
      <formula>"High"</formula>
    </cfRule>
    <cfRule type="cellIs" dxfId="27" priority="10" operator="equal">
      <formula>"Medium"</formula>
    </cfRule>
    <cfRule type="cellIs" dxfId="26" priority="11" operator="equal">
      <formula>"Low"</formula>
    </cfRule>
  </conditionalFormatting>
  <conditionalFormatting sqref="Y23">
    <cfRule type="cellIs" dxfId="25" priority="6" operator="equal">
      <formula>"High"</formula>
    </cfRule>
    <cfRule type="cellIs" dxfId="24" priority="7" operator="equal">
      <formula>"Medium"</formula>
    </cfRule>
    <cfRule type="cellIs" dxfId="23" priority="8" operator="equal">
      <formula>"Low"</formula>
    </cfRule>
  </conditionalFormatting>
  <conditionalFormatting sqref="AA6 AA8 AA10 AA12 AA14 AA16 AA18 AA20 AA22">
    <cfRule type="cellIs" dxfId="22" priority="30" operator="between">
      <formula>0</formula>
      <formula>10.01</formula>
    </cfRule>
    <cfRule type="cellIs" dxfId="21" priority="31" operator="between">
      <formula>10.01</formula>
      <formula>50</formula>
    </cfRule>
    <cfRule type="cellIs" dxfId="20" priority="32" operator="greaterThan">
      <formula>50</formula>
    </cfRule>
  </conditionalFormatting>
  <dataValidations count="6">
    <dataValidation type="list" allowBlank="1" showInputMessage="1" showErrorMessage="1" sqref="P6:P23 Q23:T23" xr:uid="{3CBBEA96-98EC-4341-BF92-D760A1D7A6BA}">
      <formula1>"Manual,Automated"</formula1>
    </dataValidation>
    <dataValidation type="list" allowBlank="1" showInputMessage="1" showErrorMessage="1" sqref="O6:O23" xr:uid="{DB69071D-199E-493D-B490-4DF168EFCF53}">
      <formula1>"Preventive,Detective,Corrective"</formula1>
    </dataValidation>
    <dataValidation type="list" allowBlank="1" showInputMessage="1" showErrorMessage="1" sqref="C6:F23 V6:V23 Y21 Y23" xr:uid="{0A8A2126-593A-4AEE-8AB1-AE78140A5539}">
      <formula1>"Low,Medium,High"</formula1>
    </dataValidation>
    <dataValidation type="list" allowBlank="1" showInputMessage="1" showErrorMessage="1" sqref="F6:F23" xr:uid="{A82E2123-2D10-45A5-AD30-FE180B1270F3}">
      <formula1>"Intentional, Accidental"</formula1>
    </dataValidation>
    <dataValidation type="list" allowBlank="1" showInputMessage="1" showErrorMessage="1" sqref="E6:E23" xr:uid="{8EE31147-F81E-451C-AA71-0084CF7281F4}">
      <formula1>"Natural, Man-made"</formula1>
    </dataValidation>
    <dataValidation type="list" allowBlank="1" showInputMessage="1" showErrorMessage="1" sqref="D6:D23" xr:uid="{42E20E44-D38C-4282-B616-2BE3DF76A32D}">
      <formula1>"External,Internal"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5CF5C-D1EC-4C47-84B5-CCA65FEF5AC7}">
  <dimension ref="A1:Y24"/>
  <sheetViews>
    <sheetView workbookViewId="0">
      <pane xSplit="1" ySplit="3" topLeftCell="B4" activePane="bottomRight" state="frozen"/>
      <selection pane="topRight" activeCell="B1" sqref="B1"/>
      <selection pane="bottomLeft" activeCell="A4" sqref="A4"/>
      <selection pane="bottomRight" activeCell="O6" sqref="O6:O22"/>
    </sheetView>
  </sheetViews>
  <sheetFormatPr defaultRowHeight="55.05" customHeight="1" x14ac:dyDescent="0.3"/>
  <cols>
    <col min="1" max="1" width="18.44140625" style="56" customWidth="1"/>
    <col min="2" max="2" width="30" style="56" customWidth="1"/>
    <col min="3" max="3" width="4.44140625" style="57" hidden="1" customWidth="1"/>
    <col min="4" max="4" width="3" style="57" hidden="1" customWidth="1"/>
    <col min="5" max="5" width="4.44140625" style="57" hidden="1" customWidth="1"/>
    <col min="6" max="6" width="3" style="57" hidden="1" customWidth="1"/>
    <col min="7" max="7" width="24.109375" style="57" hidden="1" customWidth="1"/>
    <col min="8" max="8" width="13.44140625" style="57" hidden="1" customWidth="1"/>
    <col min="9" max="9" width="5.21875" style="57" hidden="1" customWidth="1"/>
    <col min="10" max="10" width="4.77734375" style="57" hidden="1" customWidth="1"/>
    <col min="11" max="11" width="5.88671875" style="57" hidden="1" customWidth="1"/>
    <col min="12" max="12" width="31.5546875" style="57" hidden="1" customWidth="1"/>
    <col min="13" max="13" width="7" style="57" bestFit="1" customWidth="1"/>
    <col min="14" max="14" width="6.88671875" style="57" bestFit="1" customWidth="1"/>
    <col min="15" max="15" width="8.88671875" style="57" bestFit="1" customWidth="1"/>
    <col min="16" max="16" width="17.44140625" style="57" bestFit="1" customWidth="1"/>
    <col min="17" max="17" width="12.44140625" style="57" bestFit="1" customWidth="1"/>
    <col min="18" max="18" width="8.88671875" style="57" bestFit="1" customWidth="1"/>
    <col min="19" max="19" width="15.33203125" style="57" bestFit="1" customWidth="1"/>
    <col min="20" max="20" width="8.77734375" style="57" bestFit="1" customWidth="1"/>
    <col min="21" max="21" width="6.5546875" style="57" bestFit="1" customWidth="1"/>
    <col min="22" max="22" width="14.6640625" style="57" bestFit="1" customWidth="1"/>
    <col min="23" max="23" width="14" style="57" bestFit="1" customWidth="1"/>
    <col min="24" max="24" width="16" style="57" bestFit="1" customWidth="1"/>
    <col min="25" max="25" width="18.5546875" customWidth="1"/>
  </cols>
  <sheetData>
    <row r="1" spans="1:25" ht="55.05" customHeight="1" x14ac:dyDescent="0.3">
      <c r="A1"/>
      <c r="B1"/>
      <c r="C1"/>
      <c r="D1"/>
      <c r="E1"/>
      <c r="F1"/>
      <c r="G1"/>
      <c r="H1"/>
      <c r="I1"/>
      <c r="J1"/>
      <c r="K1"/>
      <c r="L1"/>
      <c r="M1"/>
      <c r="N1"/>
      <c r="O1"/>
      <c r="P1"/>
      <c r="Q1"/>
      <c r="R1"/>
      <c r="S1"/>
      <c r="T1"/>
      <c r="U1"/>
      <c r="V1"/>
      <c r="W1"/>
      <c r="X1"/>
    </row>
    <row r="2" spans="1:25" ht="55.05" customHeight="1" x14ac:dyDescent="0.45">
      <c r="A2" s="59"/>
      <c r="B2" s="108" t="s">
        <v>3</v>
      </c>
      <c r="C2" s="109"/>
      <c r="D2" s="109"/>
      <c r="E2" s="109"/>
      <c r="F2" s="109"/>
      <c r="G2" s="108" t="s">
        <v>19</v>
      </c>
      <c r="H2" s="109"/>
      <c r="I2" s="109"/>
      <c r="J2" s="109"/>
      <c r="K2" s="110"/>
      <c r="L2" s="108" t="s">
        <v>7</v>
      </c>
      <c r="M2" s="109"/>
      <c r="N2" s="109"/>
      <c r="O2" s="109"/>
      <c r="P2" s="109"/>
      <c r="Q2" s="108" t="s">
        <v>136</v>
      </c>
      <c r="R2" s="109"/>
      <c r="S2" s="109"/>
      <c r="T2" s="109"/>
      <c r="U2" s="109"/>
      <c r="V2" s="109"/>
      <c r="W2" s="110"/>
      <c r="X2" s="86" t="s">
        <v>213</v>
      </c>
      <c r="Y2" s="94" t="s">
        <v>202</v>
      </c>
    </row>
    <row r="3" spans="1:25" ht="55.05" customHeight="1" x14ac:dyDescent="0.3">
      <c r="A3" s="71" t="s">
        <v>8</v>
      </c>
      <c r="B3" s="71" t="s">
        <v>3</v>
      </c>
      <c r="C3" s="111" t="s">
        <v>77</v>
      </c>
      <c r="D3" s="112" t="s">
        <v>122</v>
      </c>
      <c r="E3" s="72" t="s">
        <v>82</v>
      </c>
      <c r="F3" s="72" t="s">
        <v>167</v>
      </c>
      <c r="G3" s="71" t="s">
        <v>146</v>
      </c>
      <c r="H3" s="72" t="s">
        <v>132</v>
      </c>
      <c r="I3" s="72" t="s">
        <v>131</v>
      </c>
      <c r="J3" s="72" t="s">
        <v>133</v>
      </c>
      <c r="K3" s="72" t="s">
        <v>166</v>
      </c>
      <c r="L3" s="72" t="s">
        <v>114</v>
      </c>
      <c r="M3" s="88" t="s">
        <v>77</v>
      </c>
      <c r="N3" s="87" t="s">
        <v>97</v>
      </c>
      <c r="O3" s="72" t="s">
        <v>135</v>
      </c>
      <c r="P3" s="72" t="s">
        <v>165</v>
      </c>
      <c r="Q3" s="72" t="s">
        <v>160</v>
      </c>
      <c r="R3" s="74" t="s">
        <v>163</v>
      </c>
      <c r="S3" s="73" t="s">
        <v>230</v>
      </c>
      <c r="T3" s="111" t="s">
        <v>171</v>
      </c>
      <c r="U3" s="115"/>
      <c r="V3" s="112"/>
      <c r="W3" s="72" t="s">
        <v>161</v>
      </c>
      <c r="X3" s="72" t="s">
        <v>170</v>
      </c>
      <c r="Y3" s="1"/>
    </row>
    <row r="4" spans="1:25" ht="55.05" customHeight="1" x14ac:dyDescent="0.3">
      <c r="A4" s="92" t="s">
        <v>200</v>
      </c>
      <c r="B4" s="60"/>
      <c r="C4" s="61"/>
      <c r="D4" s="61"/>
      <c r="E4" s="61"/>
      <c r="F4" s="61">
        <v>100</v>
      </c>
      <c r="G4" s="60"/>
      <c r="H4" s="76"/>
      <c r="I4" s="61"/>
      <c r="J4" s="61"/>
      <c r="K4" s="91">
        <v>100</v>
      </c>
      <c r="L4" s="61"/>
      <c r="M4" s="61"/>
      <c r="N4" s="61"/>
      <c r="O4" s="61"/>
      <c r="P4" s="91">
        <v>100</v>
      </c>
      <c r="Q4" s="61"/>
      <c r="R4" s="61"/>
      <c r="S4" s="61"/>
      <c r="T4" s="72" t="s">
        <v>137</v>
      </c>
      <c r="U4" s="72" t="s">
        <v>138</v>
      </c>
      <c r="V4" s="61" t="s">
        <v>139</v>
      </c>
      <c r="W4" s="61"/>
      <c r="X4" s="61"/>
      <c r="Y4" s="1"/>
    </row>
    <row r="5" spans="1:25" ht="55.05" customHeight="1" x14ac:dyDescent="0.3">
      <c r="A5" s="60"/>
      <c r="B5" s="60" t="s">
        <v>140</v>
      </c>
      <c r="C5" s="60" t="s">
        <v>147</v>
      </c>
      <c r="D5" s="61" t="s">
        <v>148</v>
      </c>
      <c r="E5" s="61" t="s">
        <v>175</v>
      </c>
      <c r="F5" s="61" t="s">
        <v>176</v>
      </c>
      <c r="G5" s="60" t="s">
        <v>150</v>
      </c>
      <c r="H5" s="76" t="s">
        <v>152</v>
      </c>
      <c r="I5" s="61" t="s">
        <v>153</v>
      </c>
      <c r="J5" s="61" t="s">
        <v>178</v>
      </c>
      <c r="K5" s="61" t="s">
        <v>154</v>
      </c>
      <c r="L5" s="61" t="s">
        <v>155</v>
      </c>
      <c r="M5" s="61" t="s">
        <v>159</v>
      </c>
      <c r="N5" s="61" t="s">
        <v>164</v>
      </c>
      <c r="O5" s="61" t="s">
        <v>187</v>
      </c>
      <c r="P5" s="61" t="s">
        <v>179</v>
      </c>
      <c r="Q5" s="61" t="s">
        <v>180</v>
      </c>
      <c r="R5" s="61" t="s">
        <v>181</v>
      </c>
      <c r="S5" s="61" t="s">
        <v>182</v>
      </c>
      <c r="T5" s="61" t="s">
        <v>183</v>
      </c>
      <c r="U5" s="61" t="s">
        <v>184</v>
      </c>
      <c r="V5" s="61" t="s">
        <v>185</v>
      </c>
      <c r="W5" s="61" t="s">
        <v>210</v>
      </c>
      <c r="X5" s="61" t="s">
        <v>186</v>
      </c>
      <c r="Y5" s="1"/>
    </row>
    <row r="6" spans="1:25" ht="55.05" customHeight="1" x14ac:dyDescent="0.3">
      <c r="A6" s="105" t="s">
        <v>0</v>
      </c>
      <c r="B6" s="63" t="s">
        <v>209</v>
      </c>
      <c r="C6" s="77">
        <v>0.15</v>
      </c>
      <c r="D6" s="63">
        <v>40</v>
      </c>
      <c r="E6" s="63">
        <f t="shared" ref="E6:E22" si="0">C6*D6</f>
        <v>6</v>
      </c>
      <c r="F6" s="84">
        <f>C6*$F$4</f>
        <v>15</v>
      </c>
      <c r="G6" s="63" t="s">
        <v>36</v>
      </c>
      <c r="H6" s="75">
        <v>7.0000000000000007E-2</v>
      </c>
      <c r="I6" s="63">
        <v>20</v>
      </c>
      <c r="J6" s="63">
        <f>H6*I6</f>
        <v>1.4000000000000001</v>
      </c>
      <c r="K6" s="63">
        <f>$K$4*H6</f>
        <v>7.0000000000000009</v>
      </c>
      <c r="L6" s="63" t="s">
        <v>39</v>
      </c>
      <c r="M6" s="78">
        <f>C6-H6</f>
        <v>7.9999999999999988E-2</v>
      </c>
      <c r="N6" s="63">
        <f>D6-I6</f>
        <v>20</v>
      </c>
      <c r="O6" s="64">
        <f>M6*N6</f>
        <v>1.5999999999999996</v>
      </c>
      <c r="P6" s="64">
        <f>$P$4*M6</f>
        <v>7.9999999999999991</v>
      </c>
      <c r="Q6" s="64">
        <f>F6</f>
        <v>15</v>
      </c>
      <c r="R6" s="89">
        <f>K6</f>
        <v>7.0000000000000009</v>
      </c>
      <c r="S6" s="64">
        <f>P6</f>
        <v>7.9999999999999991</v>
      </c>
      <c r="T6" s="64">
        <v>4.5</v>
      </c>
      <c r="U6" s="64">
        <v>0.5</v>
      </c>
      <c r="V6" s="89">
        <f>T6+U6</f>
        <v>5</v>
      </c>
      <c r="W6" s="64">
        <f>R6-V6</f>
        <v>2.0000000000000009</v>
      </c>
      <c r="X6" s="64">
        <f>V6/W6</f>
        <v>2.4999999999999991</v>
      </c>
      <c r="Y6" s="93" t="s">
        <v>222</v>
      </c>
    </row>
    <row r="7" spans="1:25" ht="55.05" customHeight="1" x14ac:dyDescent="0.3">
      <c r="A7" s="106"/>
      <c r="B7" s="65" t="s">
        <v>118</v>
      </c>
      <c r="C7" s="77"/>
      <c r="D7" s="63"/>
      <c r="E7" s="63"/>
      <c r="F7" s="84"/>
      <c r="G7" s="63"/>
      <c r="H7" s="75"/>
      <c r="I7" s="63"/>
      <c r="J7" s="63"/>
      <c r="K7" s="63"/>
      <c r="L7" s="65" t="s">
        <v>211</v>
      </c>
      <c r="M7" s="78"/>
      <c r="N7" s="63"/>
      <c r="O7" s="64"/>
      <c r="P7" s="64"/>
      <c r="Q7" s="64"/>
      <c r="R7" s="89"/>
      <c r="S7" s="64"/>
      <c r="T7" s="64"/>
      <c r="U7" s="64"/>
      <c r="V7" s="89"/>
      <c r="W7" s="64"/>
      <c r="X7" s="64"/>
      <c r="Y7" s="1"/>
    </row>
    <row r="8" spans="1:25" ht="55.05" customHeight="1" x14ac:dyDescent="0.3">
      <c r="A8" s="106"/>
      <c r="B8" s="79" t="s">
        <v>231</v>
      </c>
      <c r="C8" s="77">
        <v>7.0000000000000007E-2</v>
      </c>
      <c r="D8" s="63">
        <v>5</v>
      </c>
      <c r="E8" s="63">
        <f t="shared" si="0"/>
        <v>0.35000000000000003</v>
      </c>
      <c r="F8" s="84">
        <f>C8*$F$4</f>
        <v>7.0000000000000009</v>
      </c>
      <c r="G8" s="63" t="s">
        <v>41</v>
      </c>
      <c r="H8" s="75">
        <v>0.05</v>
      </c>
      <c r="I8" s="63">
        <v>3.5</v>
      </c>
      <c r="J8" s="63">
        <f t="shared" ref="J8:J22" si="1">H8*I8</f>
        <v>0.17500000000000002</v>
      </c>
      <c r="K8" s="63">
        <f t="shared" ref="K8:K22" si="2">$K$4*H8</f>
        <v>5</v>
      </c>
      <c r="L8" s="63" t="s">
        <v>43</v>
      </c>
      <c r="M8" s="78">
        <f>C8-H8</f>
        <v>2.0000000000000004E-2</v>
      </c>
      <c r="N8" s="63">
        <f>D8-I8</f>
        <v>1.5</v>
      </c>
      <c r="O8" s="64">
        <f t="shared" ref="O8:O20" si="3">M8*N8</f>
        <v>3.0000000000000006E-2</v>
      </c>
      <c r="P8" s="64">
        <f t="shared" ref="P8:P22" si="4">$P$4*M8</f>
        <v>2.0000000000000004</v>
      </c>
      <c r="Q8" s="64">
        <f>F8</f>
        <v>7.0000000000000009</v>
      </c>
      <c r="R8" s="89">
        <f>K8</f>
        <v>5</v>
      </c>
      <c r="S8" s="64">
        <f t="shared" ref="S8:S22" si="5">P8</f>
        <v>2.0000000000000004</v>
      </c>
      <c r="T8" s="64">
        <v>2</v>
      </c>
      <c r="U8" s="64">
        <v>0</v>
      </c>
      <c r="V8" s="89">
        <f t="shared" ref="V8:V22" si="6">T8+U8</f>
        <v>2</v>
      </c>
      <c r="W8" s="64">
        <f>R8-V8</f>
        <v>3</v>
      </c>
      <c r="X8" s="64">
        <f>V8/W8</f>
        <v>0.66666666666666663</v>
      </c>
      <c r="Y8" s="93" t="s">
        <v>223</v>
      </c>
    </row>
    <row r="9" spans="1:25" ht="55.05" customHeight="1" x14ac:dyDescent="0.3">
      <c r="A9" s="106"/>
      <c r="B9" s="65" t="s">
        <v>118</v>
      </c>
      <c r="C9" s="77"/>
      <c r="D9" s="63"/>
      <c r="E9" s="63"/>
      <c r="F9" s="84"/>
      <c r="G9" s="63"/>
      <c r="H9" s="75"/>
      <c r="I9" s="63"/>
      <c r="J9" s="63"/>
      <c r="K9" s="63"/>
      <c r="L9" s="65" t="s">
        <v>214</v>
      </c>
      <c r="M9" s="78"/>
      <c r="N9" s="63"/>
      <c r="O9" s="64"/>
      <c r="P9" s="64"/>
      <c r="Q9" s="64"/>
      <c r="R9" s="89"/>
      <c r="S9" s="64"/>
      <c r="T9" s="64"/>
      <c r="U9" s="64"/>
      <c r="V9" s="89"/>
      <c r="W9" s="64"/>
      <c r="X9" s="64"/>
      <c r="Y9" s="1"/>
    </row>
    <row r="10" spans="1:25" ht="55.05" customHeight="1" x14ac:dyDescent="0.3">
      <c r="A10" s="107"/>
      <c r="B10" s="63" t="s">
        <v>212</v>
      </c>
      <c r="C10" s="77">
        <v>0.4</v>
      </c>
      <c r="D10" s="63">
        <v>85</v>
      </c>
      <c r="E10" s="63">
        <f t="shared" si="0"/>
        <v>34</v>
      </c>
      <c r="F10" s="84">
        <f>C10*$F$4</f>
        <v>40</v>
      </c>
      <c r="G10" s="63" t="s">
        <v>190</v>
      </c>
      <c r="H10" s="75">
        <v>0.23</v>
      </c>
      <c r="I10" s="63">
        <v>45</v>
      </c>
      <c r="J10" s="63">
        <f t="shared" si="1"/>
        <v>10.35</v>
      </c>
      <c r="K10" s="63">
        <f t="shared" si="2"/>
        <v>23</v>
      </c>
      <c r="L10" s="63" t="s">
        <v>64</v>
      </c>
      <c r="M10" s="78">
        <f>C10-H10</f>
        <v>0.17</v>
      </c>
      <c r="N10" s="63">
        <f>D10-I10</f>
        <v>40</v>
      </c>
      <c r="O10" s="64">
        <f t="shared" si="3"/>
        <v>6.8000000000000007</v>
      </c>
      <c r="P10" s="64">
        <f t="shared" si="4"/>
        <v>17</v>
      </c>
      <c r="Q10" s="64">
        <f>F10</f>
        <v>40</v>
      </c>
      <c r="R10" s="89">
        <f>K10</f>
        <v>23</v>
      </c>
      <c r="S10" s="64">
        <f t="shared" si="5"/>
        <v>17</v>
      </c>
      <c r="T10" s="64">
        <v>5</v>
      </c>
      <c r="U10" s="64">
        <v>0</v>
      </c>
      <c r="V10" s="89">
        <f t="shared" si="6"/>
        <v>5</v>
      </c>
      <c r="W10" s="64">
        <f>R10-V10</f>
        <v>18</v>
      </c>
      <c r="X10" s="64">
        <f>V10/W10</f>
        <v>0.27777777777777779</v>
      </c>
      <c r="Y10" s="93" t="s">
        <v>223</v>
      </c>
    </row>
    <row r="11" spans="1:25" ht="55.05" customHeight="1" x14ac:dyDescent="0.3">
      <c r="A11" s="80"/>
      <c r="B11" s="65" t="s">
        <v>118</v>
      </c>
      <c r="C11" s="77"/>
      <c r="D11" s="63"/>
      <c r="E11" s="63"/>
      <c r="F11" s="84"/>
      <c r="G11" s="63"/>
      <c r="H11" s="75"/>
      <c r="I11" s="63"/>
      <c r="J11" s="63"/>
      <c r="K11" s="63"/>
      <c r="L11" s="65" t="s">
        <v>215</v>
      </c>
      <c r="M11" s="78"/>
      <c r="N11" s="63"/>
      <c r="O11" s="64"/>
      <c r="P11" s="64"/>
      <c r="Q11" s="64"/>
      <c r="R11" s="89"/>
      <c r="S11" s="64"/>
      <c r="T11" s="64"/>
      <c r="U11" s="64"/>
      <c r="V11" s="89"/>
      <c r="W11" s="64"/>
      <c r="X11" s="64"/>
      <c r="Y11" s="1"/>
    </row>
    <row r="12" spans="1:25" ht="55.05" customHeight="1" x14ac:dyDescent="0.3">
      <c r="A12" s="105" t="s">
        <v>1</v>
      </c>
      <c r="B12" s="63" t="s">
        <v>204</v>
      </c>
      <c r="C12" s="77">
        <v>0.6</v>
      </c>
      <c r="D12" s="63">
        <v>30</v>
      </c>
      <c r="E12" s="63">
        <f t="shared" si="0"/>
        <v>18</v>
      </c>
      <c r="F12" s="84">
        <f>C12*$F$4</f>
        <v>60</v>
      </c>
      <c r="G12" s="63" t="s">
        <v>46</v>
      </c>
      <c r="H12" s="75">
        <v>0.42</v>
      </c>
      <c r="I12" s="63">
        <v>11</v>
      </c>
      <c r="J12" s="63">
        <f t="shared" si="1"/>
        <v>4.62</v>
      </c>
      <c r="K12" s="63">
        <f t="shared" si="2"/>
        <v>42</v>
      </c>
      <c r="L12" s="63" t="s">
        <v>47</v>
      </c>
      <c r="M12" s="78">
        <f>C12-H12</f>
        <v>0.18</v>
      </c>
      <c r="N12" s="63">
        <f>D12-I12</f>
        <v>19</v>
      </c>
      <c r="O12" s="64">
        <f t="shared" si="3"/>
        <v>3.42</v>
      </c>
      <c r="P12" s="64">
        <f t="shared" si="4"/>
        <v>18</v>
      </c>
      <c r="Q12" s="64">
        <f>F12</f>
        <v>60</v>
      </c>
      <c r="R12" s="89">
        <f>K12</f>
        <v>42</v>
      </c>
      <c r="S12" s="64">
        <f t="shared" si="5"/>
        <v>18</v>
      </c>
      <c r="T12" s="64">
        <v>11</v>
      </c>
      <c r="U12" s="64">
        <v>0</v>
      </c>
      <c r="V12" s="89">
        <f t="shared" si="6"/>
        <v>11</v>
      </c>
      <c r="W12" s="64">
        <f>R12-V12</f>
        <v>31</v>
      </c>
      <c r="X12" s="64">
        <f>V12/W12</f>
        <v>0.35483870967741937</v>
      </c>
      <c r="Y12" s="93" t="s">
        <v>224</v>
      </c>
    </row>
    <row r="13" spans="1:25" ht="55.05" customHeight="1" x14ac:dyDescent="0.3">
      <c r="A13" s="106"/>
      <c r="B13" s="65" t="s">
        <v>118</v>
      </c>
      <c r="C13" s="77"/>
      <c r="D13" s="63"/>
      <c r="E13" s="63"/>
      <c r="F13" s="84"/>
      <c r="G13" s="63"/>
      <c r="H13" s="75"/>
      <c r="I13" s="63"/>
      <c r="J13" s="63"/>
      <c r="K13" s="63"/>
      <c r="L13" s="65" t="s">
        <v>216</v>
      </c>
      <c r="M13" s="78"/>
      <c r="N13" s="63"/>
      <c r="O13" s="64"/>
      <c r="P13" s="64"/>
      <c r="Q13" s="64"/>
      <c r="R13" s="89"/>
      <c r="S13" s="64"/>
      <c r="T13" s="64"/>
      <c r="U13" s="64"/>
      <c r="V13" s="89"/>
      <c r="W13" s="64"/>
      <c r="X13" s="64"/>
      <c r="Y13" s="1"/>
    </row>
    <row r="14" spans="1:25" ht="55.05" customHeight="1" x14ac:dyDescent="0.3">
      <c r="A14" s="106"/>
      <c r="B14" s="63" t="s">
        <v>203</v>
      </c>
      <c r="C14" s="77">
        <v>0.3</v>
      </c>
      <c r="D14" s="63">
        <v>18</v>
      </c>
      <c r="E14" s="63">
        <f t="shared" si="0"/>
        <v>5.3999999999999995</v>
      </c>
      <c r="F14" s="84">
        <f>C14*$F$4</f>
        <v>30</v>
      </c>
      <c r="G14" s="63" t="s">
        <v>61</v>
      </c>
      <c r="H14" s="75">
        <v>0.22</v>
      </c>
      <c r="I14" s="63">
        <v>6</v>
      </c>
      <c r="J14" s="63">
        <f t="shared" si="1"/>
        <v>1.32</v>
      </c>
      <c r="K14" s="63">
        <f t="shared" si="2"/>
        <v>22</v>
      </c>
      <c r="L14" s="63" t="s">
        <v>48</v>
      </c>
      <c r="M14" s="78">
        <f>C14-H14</f>
        <v>7.9999999999999988E-2</v>
      </c>
      <c r="N14" s="63">
        <f>D14-I14</f>
        <v>12</v>
      </c>
      <c r="O14" s="64">
        <f t="shared" si="3"/>
        <v>0.95999999999999985</v>
      </c>
      <c r="P14" s="64">
        <f t="shared" si="4"/>
        <v>7.9999999999999991</v>
      </c>
      <c r="Q14" s="64">
        <f>F14</f>
        <v>30</v>
      </c>
      <c r="R14" s="89">
        <f>K14</f>
        <v>22</v>
      </c>
      <c r="S14" s="64">
        <f t="shared" si="5"/>
        <v>7.9999999999999991</v>
      </c>
      <c r="T14" s="64">
        <v>7</v>
      </c>
      <c r="U14" s="64">
        <v>2</v>
      </c>
      <c r="V14" s="89">
        <f t="shared" si="6"/>
        <v>9</v>
      </c>
      <c r="W14" s="64">
        <f>R14-V14</f>
        <v>13</v>
      </c>
      <c r="X14" s="64">
        <f>V14/W14</f>
        <v>0.69230769230769229</v>
      </c>
      <c r="Y14" s="93" t="s">
        <v>225</v>
      </c>
    </row>
    <row r="15" spans="1:25" ht="55.05" customHeight="1" x14ac:dyDescent="0.3">
      <c r="A15" s="106"/>
      <c r="B15" s="65" t="s">
        <v>118</v>
      </c>
      <c r="C15" s="77"/>
      <c r="D15" s="63"/>
      <c r="E15" s="63"/>
      <c r="F15" s="84"/>
      <c r="G15" s="63"/>
      <c r="H15" s="75"/>
      <c r="I15" s="63"/>
      <c r="J15" s="63"/>
      <c r="K15" s="63"/>
      <c r="L15" s="65" t="s">
        <v>217</v>
      </c>
      <c r="M15" s="78"/>
      <c r="N15" s="63"/>
      <c r="O15" s="64"/>
      <c r="P15" s="64"/>
      <c r="Q15" s="64"/>
      <c r="R15" s="89"/>
      <c r="S15" s="64"/>
      <c r="T15" s="64"/>
      <c r="U15" s="64"/>
      <c r="V15" s="89"/>
      <c r="W15" s="64"/>
      <c r="X15" s="64"/>
      <c r="Y15" s="1"/>
    </row>
    <row r="16" spans="1:25" ht="55.05" customHeight="1" x14ac:dyDescent="0.3">
      <c r="A16" s="107"/>
      <c r="B16" s="63" t="s">
        <v>205</v>
      </c>
      <c r="C16" s="77">
        <v>0.7</v>
      </c>
      <c r="D16" s="63">
        <v>40</v>
      </c>
      <c r="E16" s="63">
        <f t="shared" si="0"/>
        <v>28</v>
      </c>
      <c r="F16" s="84">
        <f>C16*$F$4</f>
        <v>70</v>
      </c>
      <c r="G16" s="63" t="s">
        <v>168</v>
      </c>
      <c r="H16" s="75">
        <v>0.56999999999999995</v>
      </c>
      <c r="I16" s="63">
        <v>15</v>
      </c>
      <c r="J16" s="63">
        <f t="shared" si="1"/>
        <v>8.5499999999999989</v>
      </c>
      <c r="K16" s="63">
        <f t="shared" si="2"/>
        <v>56.999999999999993</v>
      </c>
      <c r="L16" s="63" t="s">
        <v>105</v>
      </c>
      <c r="M16" s="78">
        <f>C16-H16</f>
        <v>0.13</v>
      </c>
      <c r="N16" s="63">
        <f>D16-I16</f>
        <v>25</v>
      </c>
      <c r="O16" s="64">
        <f t="shared" si="3"/>
        <v>3.25</v>
      </c>
      <c r="P16" s="64">
        <f t="shared" si="4"/>
        <v>13</v>
      </c>
      <c r="Q16" s="64">
        <f>F16</f>
        <v>70</v>
      </c>
      <c r="R16" s="89">
        <f>K16</f>
        <v>56.999999999999993</v>
      </c>
      <c r="S16" s="64">
        <f t="shared" si="5"/>
        <v>13</v>
      </c>
      <c r="T16" s="64">
        <v>11</v>
      </c>
      <c r="U16" s="64">
        <v>7</v>
      </c>
      <c r="V16" s="89">
        <f t="shared" si="6"/>
        <v>18</v>
      </c>
      <c r="W16" s="64">
        <f>R16-V16</f>
        <v>38.999999999999993</v>
      </c>
      <c r="X16" s="64">
        <f>V16/W16</f>
        <v>0.46153846153846162</v>
      </c>
      <c r="Y16" s="93" t="s">
        <v>226</v>
      </c>
    </row>
    <row r="17" spans="1:25" ht="55.05" customHeight="1" x14ac:dyDescent="0.3">
      <c r="A17" s="80"/>
      <c r="B17" s="65" t="s">
        <v>118</v>
      </c>
      <c r="C17" s="77"/>
      <c r="D17" s="63"/>
      <c r="E17" s="63"/>
      <c r="F17" s="84"/>
      <c r="G17" s="63"/>
      <c r="H17" s="75"/>
      <c r="I17" s="63"/>
      <c r="J17" s="63"/>
      <c r="K17" s="63"/>
      <c r="L17" s="65" t="s">
        <v>218</v>
      </c>
      <c r="M17" s="78"/>
      <c r="N17" s="63"/>
      <c r="O17" s="64"/>
      <c r="P17" s="64"/>
      <c r="Q17" s="64"/>
      <c r="R17" s="89"/>
      <c r="S17" s="64"/>
      <c r="T17" s="64"/>
      <c r="U17" s="64"/>
      <c r="V17" s="89"/>
      <c r="W17" s="64"/>
      <c r="X17" s="64"/>
      <c r="Y17" s="1"/>
    </row>
    <row r="18" spans="1:25" ht="55.05" customHeight="1" x14ac:dyDescent="0.3">
      <c r="A18" s="105" t="s">
        <v>2</v>
      </c>
      <c r="B18" s="63" t="s">
        <v>206</v>
      </c>
      <c r="C18" s="77">
        <v>0.05</v>
      </c>
      <c r="D18" s="63">
        <v>75</v>
      </c>
      <c r="E18" s="63">
        <f t="shared" si="0"/>
        <v>3.75</v>
      </c>
      <c r="F18" s="84">
        <f>C18*$F$4</f>
        <v>5</v>
      </c>
      <c r="G18" s="63" t="s">
        <v>51</v>
      </c>
      <c r="H18" s="75">
        <v>3.7999999999999999E-2</v>
      </c>
      <c r="I18" s="63">
        <v>28</v>
      </c>
      <c r="J18" s="63">
        <f t="shared" si="1"/>
        <v>1.0640000000000001</v>
      </c>
      <c r="K18" s="63">
        <f t="shared" si="2"/>
        <v>3.8</v>
      </c>
      <c r="L18" s="63" t="s">
        <v>172</v>
      </c>
      <c r="M18" s="78">
        <f>C18-H18</f>
        <v>1.2000000000000004E-2</v>
      </c>
      <c r="N18" s="63">
        <f>D18-I18</f>
        <v>47</v>
      </c>
      <c r="O18" s="64">
        <f t="shared" si="3"/>
        <v>0.56400000000000017</v>
      </c>
      <c r="P18" s="64">
        <f t="shared" si="4"/>
        <v>1.2000000000000004</v>
      </c>
      <c r="Q18" s="64">
        <f>F18</f>
        <v>5</v>
      </c>
      <c r="R18" s="89">
        <f>K18</f>
        <v>3.8</v>
      </c>
      <c r="S18" s="64">
        <f t="shared" si="5"/>
        <v>1.2000000000000004</v>
      </c>
      <c r="T18" s="64">
        <v>5</v>
      </c>
      <c r="U18" s="64">
        <v>1</v>
      </c>
      <c r="V18" s="89">
        <f t="shared" si="6"/>
        <v>6</v>
      </c>
      <c r="W18" s="64">
        <f>R18-V18</f>
        <v>-2.2000000000000002</v>
      </c>
      <c r="X18" s="64" t="s">
        <v>173</v>
      </c>
      <c r="Y18" s="93" t="s">
        <v>227</v>
      </c>
    </row>
    <row r="19" spans="1:25" ht="55.05" customHeight="1" x14ac:dyDescent="0.3">
      <c r="A19" s="106"/>
      <c r="B19" s="65" t="s">
        <v>118</v>
      </c>
      <c r="C19" s="77"/>
      <c r="D19" s="63"/>
      <c r="E19" s="63"/>
      <c r="F19" s="84"/>
      <c r="G19" s="63"/>
      <c r="H19" s="75"/>
      <c r="I19" s="63"/>
      <c r="J19" s="63"/>
      <c r="K19" s="63"/>
      <c r="L19" s="65" t="s">
        <v>219</v>
      </c>
      <c r="M19" s="78"/>
      <c r="N19" s="63"/>
      <c r="O19" s="64"/>
      <c r="P19" s="64"/>
      <c r="Q19" s="64"/>
      <c r="R19" s="89"/>
      <c r="S19" s="64"/>
      <c r="T19" s="64"/>
      <c r="U19" s="64"/>
      <c r="V19" s="89"/>
      <c r="W19" s="64"/>
      <c r="X19" s="64"/>
      <c r="Y19" s="1"/>
    </row>
    <row r="20" spans="1:25" ht="55.05" customHeight="1" x14ac:dyDescent="0.3">
      <c r="A20" s="106"/>
      <c r="B20" s="63" t="s">
        <v>207</v>
      </c>
      <c r="C20" s="77">
        <v>0.3</v>
      </c>
      <c r="D20" s="63">
        <v>20</v>
      </c>
      <c r="E20" s="63">
        <f t="shared" si="0"/>
        <v>6</v>
      </c>
      <c r="F20" s="84">
        <f>C20*$F$4</f>
        <v>30</v>
      </c>
      <c r="G20" s="63" t="s">
        <v>169</v>
      </c>
      <c r="H20" s="75">
        <v>0.2</v>
      </c>
      <c r="I20" s="63">
        <v>12</v>
      </c>
      <c r="J20" s="63">
        <f t="shared" si="1"/>
        <v>2.4000000000000004</v>
      </c>
      <c r="K20" s="63">
        <f t="shared" si="2"/>
        <v>20</v>
      </c>
      <c r="L20" s="63" t="s">
        <v>54</v>
      </c>
      <c r="M20" s="78">
        <f>C20-H20</f>
        <v>9.9999999999999978E-2</v>
      </c>
      <c r="N20" s="63">
        <f>D20-I20</f>
        <v>8</v>
      </c>
      <c r="O20" s="64">
        <f t="shared" si="3"/>
        <v>0.79999999999999982</v>
      </c>
      <c r="P20" s="64">
        <f t="shared" si="4"/>
        <v>9.9999999999999982</v>
      </c>
      <c r="Q20" s="64">
        <f>F20</f>
        <v>30</v>
      </c>
      <c r="R20" s="89">
        <f>K20</f>
        <v>20</v>
      </c>
      <c r="S20" s="64">
        <f t="shared" si="5"/>
        <v>9.9999999999999982</v>
      </c>
      <c r="T20" s="64">
        <v>3</v>
      </c>
      <c r="U20" s="64">
        <v>0</v>
      </c>
      <c r="V20" s="89">
        <f t="shared" si="6"/>
        <v>3</v>
      </c>
      <c r="W20" s="64">
        <f>R20-V20</f>
        <v>17</v>
      </c>
      <c r="X20" s="64">
        <f>V20/W20</f>
        <v>0.17647058823529413</v>
      </c>
      <c r="Y20" s="93" t="s">
        <v>228</v>
      </c>
    </row>
    <row r="21" spans="1:25" ht="55.05" customHeight="1" x14ac:dyDescent="0.3">
      <c r="A21" s="106"/>
      <c r="B21" s="65" t="s">
        <v>118</v>
      </c>
      <c r="C21" s="77"/>
      <c r="D21" s="63"/>
      <c r="E21" s="63"/>
      <c r="F21" s="64"/>
      <c r="G21" s="63"/>
      <c r="H21" s="75"/>
      <c r="I21" s="63"/>
      <c r="J21" s="63"/>
      <c r="K21" s="63"/>
      <c r="L21" s="65" t="s">
        <v>220</v>
      </c>
      <c r="M21" s="63"/>
      <c r="N21" s="63"/>
      <c r="O21" s="64"/>
      <c r="P21" s="64"/>
      <c r="Q21" s="64"/>
      <c r="R21" s="89"/>
      <c r="S21" s="64"/>
      <c r="T21" s="64"/>
      <c r="U21" s="64"/>
      <c r="V21" s="89"/>
      <c r="W21" s="64"/>
      <c r="X21" s="64"/>
      <c r="Y21" s="1"/>
    </row>
    <row r="22" spans="1:25" ht="55.05" customHeight="1" x14ac:dyDescent="0.3">
      <c r="A22" s="107"/>
      <c r="B22" s="63" t="s">
        <v>208</v>
      </c>
      <c r="C22" s="77">
        <v>0.75</v>
      </c>
      <c r="D22" s="63">
        <v>70</v>
      </c>
      <c r="E22" s="63">
        <f t="shared" si="0"/>
        <v>52.5</v>
      </c>
      <c r="F22" s="64">
        <f>C22*$F$4</f>
        <v>75</v>
      </c>
      <c r="G22" s="63" t="s">
        <v>68</v>
      </c>
      <c r="H22" s="75">
        <v>0.44</v>
      </c>
      <c r="I22" s="63">
        <v>28</v>
      </c>
      <c r="J22" s="63">
        <f t="shared" si="1"/>
        <v>12.32</v>
      </c>
      <c r="K22" s="63">
        <f t="shared" si="2"/>
        <v>44</v>
      </c>
      <c r="L22" s="63" t="s">
        <v>69</v>
      </c>
      <c r="M22" s="78">
        <f>C22-H22</f>
        <v>0.31</v>
      </c>
      <c r="N22" s="63">
        <f>D22</f>
        <v>70</v>
      </c>
      <c r="O22" s="64">
        <f>M22*N22</f>
        <v>21.7</v>
      </c>
      <c r="P22" s="64">
        <f t="shared" si="4"/>
        <v>31</v>
      </c>
      <c r="Q22" s="64">
        <f>F22</f>
        <v>75</v>
      </c>
      <c r="R22" s="89">
        <f>K22</f>
        <v>44</v>
      </c>
      <c r="S22" s="64">
        <f t="shared" si="5"/>
        <v>31</v>
      </c>
      <c r="T22" s="64">
        <v>21</v>
      </c>
      <c r="U22" s="64">
        <v>2</v>
      </c>
      <c r="V22" s="89">
        <f t="shared" si="6"/>
        <v>23</v>
      </c>
      <c r="W22" s="64">
        <f>R22-V22</f>
        <v>21</v>
      </c>
      <c r="X22" s="64">
        <f>V22/W22</f>
        <v>1.0952380952380953</v>
      </c>
      <c r="Y22" s="93" t="s">
        <v>229</v>
      </c>
    </row>
    <row r="23" spans="1:25" ht="55.05" customHeight="1" x14ac:dyDescent="0.3">
      <c r="A23" s="81"/>
      <c r="B23" s="65" t="s">
        <v>118</v>
      </c>
      <c r="C23" s="77"/>
      <c r="D23" s="63"/>
      <c r="E23" s="63"/>
      <c r="F23" s="64"/>
      <c r="G23" s="63"/>
      <c r="H23" s="63"/>
      <c r="I23" s="63"/>
      <c r="J23" s="63"/>
      <c r="K23" s="63"/>
      <c r="L23" s="65" t="s">
        <v>221</v>
      </c>
      <c r="M23" s="63"/>
      <c r="N23" s="63"/>
      <c r="O23" s="64"/>
      <c r="P23" s="64"/>
      <c r="Q23" s="64"/>
      <c r="R23" s="89"/>
      <c r="S23" s="64"/>
      <c r="T23" s="64"/>
      <c r="U23" s="64"/>
      <c r="V23" s="89"/>
      <c r="W23" s="64"/>
      <c r="X23" s="64"/>
      <c r="Y23" s="1"/>
    </row>
    <row r="24" spans="1:25" ht="55.05" customHeight="1" x14ac:dyDescent="0.3">
      <c r="A24" s="116" t="s">
        <v>112</v>
      </c>
      <c r="B24" s="117"/>
      <c r="C24" s="67"/>
      <c r="D24" s="68"/>
      <c r="E24" s="66"/>
      <c r="F24" s="69"/>
      <c r="G24" s="66"/>
      <c r="H24" s="66"/>
      <c r="I24" s="66"/>
      <c r="J24" s="66"/>
      <c r="K24" s="66"/>
      <c r="L24" s="66"/>
      <c r="M24" s="67"/>
      <c r="N24" s="70"/>
      <c r="O24" s="69"/>
      <c r="P24" s="69"/>
      <c r="Q24" s="90">
        <f>SUM(Q6:Q23)</f>
        <v>332</v>
      </c>
      <c r="R24" s="90">
        <f>SUM(R6:R23)</f>
        <v>223.8</v>
      </c>
      <c r="S24" s="69"/>
      <c r="T24" s="69"/>
      <c r="U24" s="69"/>
      <c r="V24" s="90"/>
      <c r="W24" s="69"/>
      <c r="X24" s="69"/>
      <c r="Y24" s="1"/>
    </row>
  </sheetData>
  <mergeCells count="10">
    <mergeCell ref="G2:K2"/>
    <mergeCell ref="L2:P2"/>
    <mergeCell ref="Q2:W2"/>
    <mergeCell ref="C3:D3"/>
    <mergeCell ref="T3:V3"/>
    <mergeCell ref="A18:A22"/>
    <mergeCell ref="A24:B24"/>
    <mergeCell ref="A6:A10"/>
    <mergeCell ref="A12:A16"/>
    <mergeCell ref="B2:F2"/>
  </mergeCells>
  <conditionalFormatting sqref="M21">
    <cfRule type="cellIs" dxfId="19" priority="4" operator="equal">
      <formula>"High"</formula>
    </cfRule>
    <cfRule type="cellIs" dxfId="18" priority="5" operator="equal">
      <formula>"Medium"</formula>
    </cfRule>
    <cfRule type="cellIs" dxfId="17" priority="6" operator="equal">
      <formula>"Low"</formula>
    </cfRule>
  </conditionalFormatting>
  <conditionalFormatting sqref="M23">
    <cfRule type="cellIs" dxfId="16" priority="1" operator="equal">
      <formula>"High"</formula>
    </cfRule>
    <cfRule type="cellIs" dxfId="15" priority="2" operator="equal">
      <formula>"Medium"</formula>
    </cfRule>
    <cfRule type="cellIs" dxfId="14" priority="3" operator="equal">
      <formula>"Low"</formula>
    </cfRule>
  </conditionalFormatting>
  <conditionalFormatting sqref="O6 O8 O10 O12 O14 O16 O18 O20 O22">
    <cfRule type="cellIs" dxfId="13" priority="7" operator="between">
      <formula>0</formula>
      <formula>10.01</formula>
    </cfRule>
    <cfRule type="cellIs" dxfId="12" priority="8" operator="between">
      <formula>10.01</formula>
      <formula>50</formula>
    </cfRule>
    <cfRule type="cellIs" dxfId="11" priority="9" operator="greaterThan">
      <formula>50</formula>
    </cfRule>
  </conditionalFormatting>
  <dataValidations count="2">
    <dataValidation type="list" allowBlank="1" showInputMessage="1" showErrorMessage="1" sqref="M21 M23" xr:uid="{C90A8980-54E2-495F-BC0D-97EB2C658115}">
      <formula1>"Low,Medium,High"</formula1>
    </dataValidation>
    <dataValidation type="list" allowBlank="1" showInputMessage="1" showErrorMessage="1" sqref="H23:K23" xr:uid="{8BA89C3E-5ACC-4492-B4F3-E2A44BC5B577}">
      <formula1>"Manual,Automated"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28B95-596B-46EC-B202-9D141DCE33E0}">
  <dimension ref="E1:L13"/>
  <sheetViews>
    <sheetView tabSelected="1" workbookViewId="0">
      <selection activeCell="G18" sqref="G18"/>
    </sheetView>
  </sheetViews>
  <sheetFormatPr defaultRowHeight="14.4" x14ac:dyDescent="0.3"/>
  <cols>
    <col min="5" max="5" width="13.21875" customWidth="1"/>
    <col min="6" max="6" width="20" bestFit="1" customWidth="1"/>
    <col min="7" max="7" width="11.77734375" style="30" customWidth="1"/>
    <col min="8" max="8" width="8.88671875" style="30" customWidth="1"/>
    <col min="9" max="9" width="7.77734375" style="30" customWidth="1"/>
    <col min="10" max="10" width="15.77734375" style="30" customWidth="1"/>
    <col min="11" max="11" width="6.44140625" style="30" customWidth="1"/>
    <col min="12" max="12" width="5.6640625" style="30" customWidth="1"/>
  </cols>
  <sheetData>
    <row r="1" spans="5:12" x14ac:dyDescent="0.3">
      <c r="E1" s="129" t="s">
        <v>106</v>
      </c>
      <c r="F1" s="129" t="s">
        <v>107</v>
      </c>
      <c r="G1" s="129" t="s">
        <v>108</v>
      </c>
      <c r="H1" s="129" t="s">
        <v>109</v>
      </c>
      <c r="I1" s="129" t="s">
        <v>110</v>
      </c>
      <c r="J1" s="129" t="s">
        <v>111</v>
      </c>
      <c r="K1" s="129" t="s">
        <v>252</v>
      </c>
      <c r="L1" s="129" t="s">
        <v>253</v>
      </c>
    </row>
    <row r="2" spans="5:12" x14ac:dyDescent="0.3">
      <c r="E2" s="129" t="s">
        <v>256</v>
      </c>
      <c r="F2" s="129"/>
      <c r="G2" s="129"/>
      <c r="H2" s="129"/>
      <c r="I2" s="129"/>
      <c r="J2" s="129"/>
      <c r="K2" s="129"/>
      <c r="L2" s="129"/>
    </row>
    <row r="3" spans="5:12" x14ac:dyDescent="0.3">
      <c r="E3" s="126" t="s">
        <v>244</v>
      </c>
      <c r="F3" s="125" t="s">
        <v>6</v>
      </c>
      <c r="G3" s="95" t="s">
        <v>246</v>
      </c>
      <c r="H3" s="95" t="s">
        <v>248</v>
      </c>
      <c r="I3" s="95" t="s">
        <v>233</v>
      </c>
      <c r="J3" s="95" t="s">
        <v>250</v>
      </c>
      <c r="K3" s="132" t="s">
        <v>254</v>
      </c>
      <c r="L3" s="143" t="s">
        <v>243</v>
      </c>
    </row>
    <row r="4" spans="5:12" x14ac:dyDescent="0.3">
      <c r="E4" s="126" t="s">
        <v>245</v>
      </c>
      <c r="F4" s="126"/>
      <c r="G4" s="127" t="s">
        <v>247</v>
      </c>
      <c r="H4" s="95" t="s">
        <v>249</v>
      </c>
      <c r="I4" s="95"/>
      <c r="J4" s="95" t="s">
        <v>251</v>
      </c>
      <c r="K4" s="133" t="s">
        <v>255</v>
      </c>
      <c r="L4" s="143"/>
    </row>
    <row r="5" spans="5:12" x14ac:dyDescent="0.3">
      <c r="E5" s="126">
        <v>1</v>
      </c>
      <c r="F5" s="128" t="s">
        <v>236</v>
      </c>
      <c r="G5" s="134">
        <v>75</v>
      </c>
      <c r="H5" s="135">
        <v>44</v>
      </c>
      <c r="I5" s="136">
        <v>31</v>
      </c>
      <c r="J5" s="137">
        <f>H5/G5*100</f>
        <v>58.666666666666664</v>
      </c>
      <c r="K5" s="133">
        <v>21.7</v>
      </c>
      <c r="L5" s="143">
        <v>1</v>
      </c>
    </row>
    <row r="6" spans="5:12" x14ac:dyDescent="0.3">
      <c r="E6" s="126">
        <v>2</v>
      </c>
      <c r="F6" s="128" t="s">
        <v>241</v>
      </c>
      <c r="G6" s="134">
        <v>40</v>
      </c>
      <c r="H6" s="135">
        <v>23</v>
      </c>
      <c r="I6" s="136">
        <v>17</v>
      </c>
      <c r="J6" s="137">
        <f>H6/G6*100</f>
        <v>57.499999999999993</v>
      </c>
      <c r="K6" s="133">
        <v>6.8000000000000007</v>
      </c>
      <c r="L6" s="143">
        <v>2</v>
      </c>
    </row>
    <row r="7" spans="5:12" x14ac:dyDescent="0.3">
      <c r="E7" s="126">
        <v>4</v>
      </c>
      <c r="F7" s="128" t="s">
        <v>239</v>
      </c>
      <c r="G7" s="134">
        <v>60</v>
      </c>
      <c r="H7" s="135">
        <v>42</v>
      </c>
      <c r="I7" s="136">
        <v>18</v>
      </c>
      <c r="J7" s="137">
        <f>H7/G7*100</f>
        <v>70</v>
      </c>
      <c r="K7" s="133">
        <v>3.42</v>
      </c>
      <c r="L7" s="143">
        <v>3</v>
      </c>
    </row>
    <row r="8" spans="5:12" x14ac:dyDescent="0.3">
      <c r="E8" s="126">
        <v>6</v>
      </c>
      <c r="F8" s="128" t="s">
        <v>242</v>
      </c>
      <c r="G8" s="134">
        <v>70</v>
      </c>
      <c r="H8" s="135">
        <v>56.999999999999993</v>
      </c>
      <c r="I8" s="136">
        <v>13</v>
      </c>
      <c r="J8" s="137">
        <f>H8/G8*100</f>
        <v>81.428571428571416</v>
      </c>
      <c r="K8" s="133">
        <v>3.25</v>
      </c>
      <c r="L8" s="143">
        <v>4</v>
      </c>
    </row>
    <row r="9" spans="5:12" x14ac:dyDescent="0.3">
      <c r="E9" s="126">
        <v>1</v>
      </c>
      <c r="F9" s="128" t="s">
        <v>234</v>
      </c>
      <c r="G9" s="134">
        <v>15</v>
      </c>
      <c r="H9" s="135">
        <v>7.0000000000000009</v>
      </c>
      <c r="I9" s="136">
        <v>7.9999999999999991</v>
      </c>
      <c r="J9" s="137">
        <f>H9/G9*100</f>
        <v>46.666666666666671</v>
      </c>
      <c r="K9" s="133">
        <v>1.5999999999999996</v>
      </c>
      <c r="L9" s="143">
        <v>5</v>
      </c>
    </row>
    <row r="10" spans="5:12" x14ac:dyDescent="0.3">
      <c r="E10" s="126">
        <v>5</v>
      </c>
      <c r="F10" s="128" t="s">
        <v>240</v>
      </c>
      <c r="G10" s="134">
        <v>30</v>
      </c>
      <c r="H10" s="135">
        <v>22</v>
      </c>
      <c r="I10" s="136">
        <v>7.9999999999999991</v>
      </c>
      <c r="J10" s="137">
        <f>H10/G10*100</f>
        <v>73.333333333333329</v>
      </c>
      <c r="K10" s="133">
        <v>0.95999999999999985</v>
      </c>
      <c r="L10" s="143">
        <v>6</v>
      </c>
    </row>
    <row r="11" spans="5:12" x14ac:dyDescent="0.3">
      <c r="E11" s="126">
        <v>8</v>
      </c>
      <c r="F11" s="128" t="s">
        <v>237</v>
      </c>
      <c r="G11" s="134">
        <v>30</v>
      </c>
      <c r="H11" s="135">
        <v>20</v>
      </c>
      <c r="I11" s="136">
        <v>9.9999999999999982</v>
      </c>
      <c r="J11" s="137">
        <f>H11/G11*100</f>
        <v>66.666666666666657</v>
      </c>
      <c r="K11" s="133">
        <v>0.79999999999999982</v>
      </c>
      <c r="L11" s="143">
        <v>7</v>
      </c>
    </row>
    <row r="12" spans="5:12" x14ac:dyDescent="0.3">
      <c r="E12" s="126">
        <v>7</v>
      </c>
      <c r="F12" s="128" t="s">
        <v>238</v>
      </c>
      <c r="G12" s="134">
        <v>5</v>
      </c>
      <c r="H12" s="135">
        <v>3.8</v>
      </c>
      <c r="I12" s="136">
        <v>1.2000000000000004</v>
      </c>
      <c r="J12" s="137">
        <f>H12/G12*100</f>
        <v>76</v>
      </c>
      <c r="K12" s="133">
        <v>0.56400000000000017</v>
      </c>
      <c r="L12" s="143">
        <v>8</v>
      </c>
    </row>
    <row r="13" spans="5:12" x14ac:dyDescent="0.3">
      <c r="E13" s="130">
        <v>2</v>
      </c>
      <c r="F13" s="131" t="s">
        <v>235</v>
      </c>
      <c r="G13" s="138">
        <v>7.0000000000000009</v>
      </c>
      <c r="H13" s="139">
        <v>5</v>
      </c>
      <c r="I13" s="140">
        <v>2.0000000000000004</v>
      </c>
      <c r="J13" s="141">
        <f>H13/G13*100</f>
        <v>71.428571428571416</v>
      </c>
      <c r="K13" s="142">
        <v>3.0000000000000006E-2</v>
      </c>
      <c r="L13" s="144">
        <v>9</v>
      </c>
    </row>
  </sheetData>
  <sortState xmlns:xlrd2="http://schemas.microsoft.com/office/spreadsheetml/2017/richdata2" ref="E4:L13">
    <sortCondition ref="L5:L13"/>
  </sortSt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4EC04-63DA-45B0-BC7B-5E71BB610E73}">
  <dimension ref="D2:I12"/>
  <sheetViews>
    <sheetView workbookViewId="0">
      <selection activeCell="I20" sqref="I20"/>
    </sheetView>
  </sheetViews>
  <sheetFormatPr defaultRowHeight="14.4" x14ac:dyDescent="0.3"/>
  <cols>
    <col min="4" max="4" width="14.88671875" customWidth="1"/>
    <col min="5" max="5" width="13" bestFit="1" customWidth="1"/>
    <col min="6" max="6" width="13.77734375" bestFit="1" customWidth="1"/>
    <col min="7" max="7" width="13" bestFit="1" customWidth="1"/>
    <col min="8" max="8" width="12.88671875" customWidth="1"/>
    <col min="9" max="9" width="14.44140625" bestFit="1" customWidth="1"/>
  </cols>
  <sheetData>
    <row r="2" spans="4:9" x14ac:dyDescent="0.3">
      <c r="D2" s="40" t="s">
        <v>106</v>
      </c>
      <c r="E2" s="41" t="s">
        <v>107</v>
      </c>
      <c r="F2" s="41" t="s">
        <v>108</v>
      </c>
      <c r="G2" s="41" t="s">
        <v>109</v>
      </c>
      <c r="H2" s="42" t="s">
        <v>110</v>
      </c>
      <c r="I2" s="41" t="s">
        <v>111</v>
      </c>
    </row>
    <row r="3" spans="4:9" ht="86.4" x14ac:dyDescent="0.3">
      <c r="D3" s="31" t="s">
        <v>99</v>
      </c>
      <c r="E3" s="31" t="s">
        <v>102</v>
      </c>
      <c r="F3" s="31" t="s">
        <v>103</v>
      </c>
      <c r="G3" s="49" t="s">
        <v>101</v>
      </c>
      <c r="H3" s="31" t="s">
        <v>100</v>
      </c>
      <c r="I3" s="48" t="s">
        <v>117</v>
      </c>
    </row>
    <row r="4" spans="4:9" x14ac:dyDescent="0.3">
      <c r="D4" s="1"/>
      <c r="E4" s="38"/>
      <c r="F4" s="39">
        <v>7.9000000000000001E-2</v>
      </c>
      <c r="G4" s="38"/>
      <c r="H4" s="1"/>
      <c r="I4" s="47">
        <v>0.2</v>
      </c>
    </row>
    <row r="5" spans="4:9" x14ac:dyDescent="0.3">
      <c r="D5" s="32"/>
      <c r="E5" s="33"/>
      <c r="F5" s="34"/>
      <c r="G5" s="33"/>
      <c r="H5" s="45"/>
      <c r="I5" s="35"/>
    </row>
    <row r="6" spans="4:9" x14ac:dyDescent="0.3">
      <c r="D6" s="32">
        <v>2023</v>
      </c>
      <c r="E6" s="33">
        <v>227</v>
      </c>
      <c r="F6" s="34">
        <f t="shared" ref="F6:F9" si="0">$F$4</f>
        <v>7.9000000000000001E-2</v>
      </c>
      <c r="G6" s="33">
        <f t="shared" ref="G6:G9" si="1">E6*F6</f>
        <v>17.933</v>
      </c>
      <c r="H6" s="45">
        <f t="shared" ref="H6:H9" si="2">G6+E6</f>
        <v>244.93299999999999</v>
      </c>
      <c r="I6" s="52">
        <f>Table1[[#This Row],[Column5]]*$I$4</f>
        <v>48.986600000000003</v>
      </c>
    </row>
    <row r="7" spans="4:9" x14ac:dyDescent="0.3">
      <c r="D7" s="32">
        <v>2024</v>
      </c>
      <c r="E7" s="33">
        <f t="shared" ref="E7:E9" si="3">H6</f>
        <v>244.93299999999999</v>
      </c>
      <c r="F7" s="34">
        <f t="shared" si="0"/>
        <v>7.9000000000000001E-2</v>
      </c>
      <c r="G7" s="33">
        <f t="shared" si="1"/>
        <v>19.349706999999999</v>
      </c>
      <c r="H7" s="45">
        <f t="shared" si="2"/>
        <v>264.28270700000002</v>
      </c>
      <c r="I7" s="44">
        <f>Table1[[#This Row],[Column5]]*$I$4</f>
        <v>52.856541400000005</v>
      </c>
    </row>
    <row r="8" spans="4:9" x14ac:dyDescent="0.3">
      <c r="D8" s="32">
        <v>2025</v>
      </c>
      <c r="E8" s="33">
        <f t="shared" si="3"/>
        <v>264.28270700000002</v>
      </c>
      <c r="F8" s="34">
        <f t="shared" si="0"/>
        <v>7.9000000000000001E-2</v>
      </c>
      <c r="G8" s="33">
        <f t="shared" si="1"/>
        <v>20.878333853000001</v>
      </c>
      <c r="H8" s="45">
        <f t="shared" si="2"/>
        <v>285.16104085300003</v>
      </c>
      <c r="I8" s="44">
        <f>Table1[[#This Row],[Column5]]*$I$4</f>
        <v>57.032208170600008</v>
      </c>
    </row>
    <row r="9" spans="4:9" x14ac:dyDescent="0.3">
      <c r="D9" s="36">
        <v>2026</v>
      </c>
      <c r="E9" s="37">
        <f t="shared" si="3"/>
        <v>285.16104085300003</v>
      </c>
      <c r="F9" s="50">
        <f t="shared" si="0"/>
        <v>7.9000000000000001E-2</v>
      </c>
      <c r="G9" s="37">
        <f t="shared" si="1"/>
        <v>22.527722227387002</v>
      </c>
      <c r="H9" s="46">
        <f t="shared" si="2"/>
        <v>307.68876308038705</v>
      </c>
      <c r="I9" s="51">
        <f>Table1[[#This Row],[Column5]]*$I$4</f>
        <v>61.537752616077412</v>
      </c>
    </row>
    <row r="11" spans="4:9" x14ac:dyDescent="0.3">
      <c r="D11" s="118" t="s">
        <v>119</v>
      </c>
      <c r="E11" s="119"/>
      <c r="F11" s="119"/>
      <c r="G11" s="119"/>
      <c r="H11" s="119"/>
      <c r="I11" s="120"/>
    </row>
    <row r="12" spans="4:9" x14ac:dyDescent="0.3">
      <c r="D12" s="121" t="s">
        <v>120</v>
      </c>
      <c r="E12" s="122"/>
      <c r="F12" s="122"/>
      <c r="G12" s="122"/>
      <c r="H12" s="122"/>
      <c r="I12" s="123"/>
    </row>
  </sheetData>
  <mergeCells count="2">
    <mergeCell ref="D11:I11"/>
    <mergeCell ref="D12:I12"/>
  </mergeCells>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7FB32-976B-439B-B953-6BC9F428E58E}">
  <dimension ref="A1:D14"/>
  <sheetViews>
    <sheetView workbookViewId="0">
      <selection activeCell="K1" sqref="K1"/>
    </sheetView>
  </sheetViews>
  <sheetFormatPr defaultRowHeight="14.4" x14ac:dyDescent="0.3"/>
  <cols>
    <col min="1" max="1" width="13.6640625" customWidth="1"/>
    <col min="2" max="2" width="13.21875" customWidth="1"/>
    <col min="3" max="3" width="10.109375" customWidth="1"/>
  </cols>
  <sheetData>
    <row r="1" spans="1:4" x14ac:dyDescent="0.3">
      <c r="B1" s="124"/>
      <c r="C1" s="124"/>
      <c r="D1" s="124"/>
    </row>
    <row r="2" spans="1:4" x14ac:dyDescent="0.3">
      <c r="A2" s="1" t="s">
        <v>9</v>
      </c>
      <c r="B2" s="1" t="s">
        <v>13</v>
      </c>
      <c r="C2" s="1" t="s">
        <v>14</v>
      </c>
      <c r="D2" s="1" t="s">
        <v>15</v>
      </c>
    </row>
    <row r="3" spans="1:4" x14ac:dyDescent="0.3">
      <c r="A3" s="1" t="s">
        <v>10</v>
      </c>
      <c r="B3" s="2" t="s">
        <v>13</v>
      </c>
      <c r="C3" s="3" t="s">
        <v>14</v>
      </c>
      <c r="D3" s="3" t="s">
        <v>14</v>
      </c>
    </row>
    <row r="4" spans="1:4" x14ac:dyDescent="0.3">
      <c r="A4" s="1" t="s">
        <v>11</v>
      </c>
      <c r="B4" s="3" t="s">
        <v>14</v>
      </c>
      <c r="C4" s="3" t="s">
        <v>14</v>
      </c>
      <c r="D4" s="4" t="s">
        <v>15</v>
      </c>
    </row>
    <row r="5" spans="1:4" x14ac:dyDescent="0.3">
      <c r="A5" s="1" t="s">
        <v>12</v>
      </c>
      <c r="B5" s="3" t="s">
        <v>14</v>
      </c>
      <c r="C5" s="4" t="s">
        <v>15</v>
      </c>
      <c r="D5" s="4" t="s">
        <v>15</v>
      </c>
    </row>
    <row r="6" spans="1:4" x14ac:dyDescent="0.3">
      <c r="A6" s="5"/>
    </row>
    <row r="9" spans="1:4" x14ac:dyDescent="0.3">
      <c r="B9" s="54" t="s">
        <v>85</v>
      </c>
      <c r="C9" s="54" t="s">
        <v>106</v>
      </c>
    </row>
    <row r="10" spans="1:4" x14ac:dyDescent="0.3">
      <c r="B10" s="38" t="s">
        <v>86</v>
      </c>
      <c r="C10" s="7" t="s">
        <v>87</v>
      </c>
    </row>
    <row r="11" spans="1:4" x14ac:dyDescent="0.3">
      <c r="B11" s="53" t="s">
        <v>94</v>
      </c>
      <c r="C11" s="7" t="s">
        <v>95</v>
      </c>
    </row>
    <row r="12" spans="1:4" x14ac:dyDescent="0.3">
      <c r="B12" s="53" t="s">
        <v>92</v>
      </c>
      <c r="C12" s="7" t="s">
        <v>93</v>
      </c>
    </row>
    <row r="13" spans="1:4" x14ac:dyDescent="0.3">
      <c r="B13" s="53" t="s">
        <v>91</v>
      </c>
      <c r="C13" s="7" t="s">
        <v>90</v>
      </c>
    </row>
    <row r="14" spans="1:4" x14ac:dyDescent="0.3">
      <c r="B14" s="55" t="s">
        <v>88</v>
      </c>
      <c r="C14" s="43" t="s">
        <v>89</v>
      </c>
    </row>
  </sheetData>
  <mergeCells count="1">
    <mergeCell ref="B1:D1"/>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Risk Assessment</vt:lpstr>
      <vt:lpstr>2. Risk Valuation</vt:lpstr>
      <vt:lpstr>3. Conclusion</vt:lpstr>
      <vt:lpstr>4. Ranking</vt:lpstr>
      <vt:lpstr>Revenue &amp; Data Breach Valun</vt:lpstr>
      <vt:lpstr>Risk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Imre</dc:creator>
  <cp:lastModifiedBy>Dhwani Tarkas</cp:lastModifiedBy>
  <dcterms:created xsi:type="dcterms:W3CDTF">2020-03-16T23:00:18Z</dcterms:created>
  <dcterms:modified xsi:type="dcterms:W3CDTF">2023-12-14T21:16:17Z</dcterms:modified>
</cp:coreProperties>
</file>